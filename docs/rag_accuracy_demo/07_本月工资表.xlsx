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2935" tabRatio="600" firstSheet="0" activeTab="0" autoFilterDateGrouping="1"/>
  </bookViews>
  <sheets>
    <sheet xmlns:r="http://schemas.openxmlformats.org/officeDocument/2006/relationships" name="工资明细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'工资明细'!$A$1:$Q$98</definedName>
    <definedName name="_xlnm.Print_Titles" localSheetId="0">'工资明细'!$1:$1</definedName>
    <definedName name="_xlnm._FilterDatabase" localSheetId="1" hidden="1">'填表说明'!$A$3:$D$14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#,##0.00;[Red]\-#,##0.00;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color rgb="FFFFFFFF"/>
      <sz val="11"/>
    </font>
    <font>
      <name val="Microsoft YaHei"/>
      <charset val="134"/>
      <sz val="10"/>
    </font>
    <font>
      <name val="Microsoft YaHei"/>
      <charset val="134"/>
      <color rgb="FF7F6000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rgb="FF1F1F1F"/>
      <sz val="10"/>
    </font>
    <font>
      <name val="Microsoft YaHei"/>
      <charset val="134"/>
      <b val="1"/>
      <color rgb="FF1F4E78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8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9" borderId="7" applyAlignment="1">
      <alignment vertical="center"/>
    </xf>
    <xf numFmtId="0" fontId="17" fillId="10" borderId="8" applyAlignment="1">
      <alignment vertical="center"/>
    </xf>
    <xf numFmtId="0" fontId="18" fillId="10" borderId="7" applyAlignment="1">
      <alignment vertical="center"/>
    </xf>
    <xf numFmtId="0" fontId="19" fillId="11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5" fillId="38" borderId="0" applyAlignment="1">
      <alignment vertical="center"/>
    </xf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98"/>
  <sheetViews>
    <sheetView showGridLines="0" tabSelected="1" workbookViewId="0">
      <pane xSplit="7" ySplit="1" topLeftCell="H67" activePane="bottomRight" state="frozen"/>
      <selection activeCell="A1" sqref="A1"/>
      <selection pane="topRight" activeCell="A1" sqref="A1"/>
      <selection pane="bottomLeft" activeCell="A1" sqref="A1"/>
      <selection pane="bottomRight" activeCell="H101" sqref="H101"/>
    </sheetView>
  </sheetViews>
  <sheetFormatPr baseColWidth="8" defaultColWidth="9" defaultRowHeight="14.4"/>
  <cols>
    <col width="10" customWidth="1" min="1" max="1"/>
    <col width="11" customWidth="1" min="2" max="2"/>
    <col width="14" customWidth="1" min="3" max="3"/>
    <col width="20" customWidth="1" min="4" max="4"/>
    <col width="10" customWidth="1" min="5" max="6"/>
    <col width="13" customWidth="1" min="7" max="7"/>
    <col width="11" customWidth="1" min="8" max="8"/>
    <col width="12" customWidth="1" min="9" max="9"/>
    <col width="28.2222222222222" customWidth="1" min="10" max="10"/>
    <col width="12" customWidth="1" min="11" max="12"/>
    <col width="28.5555555555556" customWidth="1" min="13" max="13"/>
    <col width="13" customWidth="1" min="14" max="14"/>
    <col width="20.8888888888889" customWidth="1" min="15" max="15"/>
    <col width="12" customWidth="1" min="16" max="16"/>
    <col width="19.8888888888889" customWidth="1" min="17" max="17"/>
  </cols>
  <sheetData>
    <row r="1" ht="34" customHeight="1">
      <c r="A1" s="8" t="inlineStr">
        <is>
          <t>员工号</t>
        </is>
      </c>
      <c r="B1" s="8" t="inlineStr">
        <is>
          <t>员工姓名</t>
        </is>
      </c>
      <c r="C1" s="8" t="inlineStr">
        <is>
          <t>所属部门</t>
        </is>
      </c>
      <c r="D1" s="8" t="inlineStr">
        <is>
          <t>岗位名称</t>
        </is>
      </c>
      <c r="E1" s="8" t="inlineStr">
        <is>
          <t>岗位等级</t>
        </is>
      </c>
      <c r="F1" s="8" t="inlineStr">
        <is>
          <t>员工状态</t>
        </is>
      </c>
      <c r="G1" s="8" t="inlineStr">
        <is>
          <t>入职日期</t>
        </is>
      </c>
      <c r="H1" s="8" t="inlineStr">
        <is>
          <t>应出勤天数</t>
        </is>
      </c>
      <c r="I1" s="8" t="inlineStr">
        <is>
          <t>实际出勤天数</t>
        </is>
      </c>
      <c r="J1" s="8" t="inlineStr">
        <is>
          <t>基本工资</t>
        </is>
      </c>
      <c r="K1" s="8" t="inlineStr">
        <is>
          <t>岗位津贴</t>
        </is>
      </c>
      <c r="L1" s="8" t="inlineStr">
        <is>
          <t>绩效奖金</t>
        </is>
      </c>
      <c r="M1" s="8" t="inlineStr">
        <is>
          <t>应发工资</t>
        </is>
      </c>
      <c r="N1" s="8" t="inlineStr">
        <is>
          <t>社保公积金</t>
        </is>
      </c>
      <c r="O1" s="8" t="inlineStr">
        <is>
          <t>个税</t>
        </is>
      </c>
      <c r="P1" s="8" t="inlineStr">
        <is>
          <t>其他扣款</t>
        </is>
      </c>
      <c r="Q1" s="8" t="inlineStr">
        <is>
          <t>实发工资</t>
        </is>
      </c>
    </row>
    <row r="2" ht="22" customHeight="1">
      <c r="A2" s="9" t="inlineStr">
        <is>
          <t>E0001</t>
        </is>
      </c>
      <c r="B2" s="9" t="inlineStr">
        <is>
          <t>钱思妤</t>
        </is>
      </c>
      <c r="C2" s="9" t="inlineStr">
        <is>
          <t>总经办</t>
        </is>
      </c>
      <c r="D2" s="9" t="inlineStr">
        <is>
          <t>总经理助理</t>
        </is>
      </c>
      <c r="E2" s="9" t="inlineStr">
        <is>
          <t>P1-P2</t>
        </is>
      </c>
      <c r="F2" s="9" t="inlineStr">
        <is>
          <t>试用</t>
        </is>
      </c>
      <c r="G2" s="15" t="n">
        <v>44594</v>
      </c>
      <c r="H2" s="11" t="n">
        <v>22</v>
      </c>
      <c r="I2" s="11" t="n">
        <v>21</v>
      </c>
      <c r="J2" s="16" t="n">
        <v>9200</v>
      </c>
      <c r="K2" s="16" t="n">
        <v>1400</v>
      </c>
      <c r="L2" s="16" t="n">
        <v>100</v>
      </c>
      <c r="M2" s="17">
        <f>IF(COUNTA(J2:L2)&lt;3,"",ROUND(SUM(J2:L2),2))</f>
        <v>10700.00</v>
      </c>
      <c r="N2" s="16" t="n">
        <v>800</v>
      </c>
      <c r="O2" s="16" t="n">
        <v>280</v>
      </c>
      <c r="P2" s="16" t="n">
        <v>260</v>
      </c>
      <c r="Q2" s="17">
        <f>IF(OR(M2="",COUNTA(N2:P2)&lt;3),"",ROUND(M2-SUM(N2:P2),2))</f>
        <v>9360.00</v>
      </c>
    </row>
    <row r="3" ht="22" customHeight="1">
      <c r="A3" s="9" t="inlineStr">
        <is>
          <t>E0002</t>
        </is>
      </c>
      <c r="B3" s="9" t="inlineStr">
        <is>
          <t>孙若然</t>
        </is>
      </c>
      <c r="C3" s="9" t="inlineStr">
        <is>
          <t>研发部</t>
        </is>
      </c>
      <c r="D3" s="9" t="inlineStr">
        <is>
          <t>前端开发工程师</t>
        </is>
      </c>
      <c r="E3" s="9" t="inlineStr">
        <is>
          <t>P3-P5</t>
        </is>
      </c>
      <c r="F3" s="9" t="inlineStr">
        <is>
          <t>休假</t>
        </is>
      </c>
      <c r="G3" s="15" t="n">
        <v>44988</v>
      </c>
      <c r="H3" s="11" t="n">
        <v>20</v>
      </c>
      <c r="I3" s="11" t="n">
        <v>18</v>
      </c>
      <c r="J3" s="16" t="n">
        <v>16200</v>
      </c>
      <c r="K3" s="16" t="n">
        <v>1600</v>
      </c>
      <c r="L3" s="16" t="n">
        <v>1100</v>
      </c>
      <c r="M3" s="17">
        <f>IF(COUNTA(J3:L3)&lt;3,"",ROUND(SUM(J3:L3),2))</f>
        <v>18900.00</v>
      </c>
      <c r="N3" s="16" t="n">
        <v>1513.07</v>
      </c>
      <c r="O3" s="16" t="n">
        <v>1067.39</v>
      </c>
      <c r="P3" s="16" t="n">
        <v>0</v>
      </c>
      <c r="Q3" s="17">
        <f>IF(OR(M3="",COUNTA(N3:P3)&lt;3),"",ROUND(M3-SUM(N3:P3),2))</f>
        <v>16319.54</v>
      </c>
    </row>
    <row r="4" ht="22" customHeight="1">
      <c r="A4" s="9" t="inlineStr">
        <is>
          <t>E0003</t>
        </is>
      </c>
      <c r="B4" s="9" t="inlineStr">
        <is>
          <t>李雅珺</t>
        </is>
      </c>
      <c r="C4" s="9" t="inlineStr">
        <is>
          <t>数据部</t>
        </is>
      </c>
      <c r="D4" s="9" t="inlineStr">
        <is>
          <t>BI 开发工程师</t>
        </is>
      </c>
      <c r="E4" s="9" t="inlineStr">
        <is>
          <t>P3-P5</t>
        </is>
      </c>
      <c r="F4" s="9" t="inlineStr">
        <is>
          <t>异动</t>
        </is>
      </c>
      <c r="G4" s="15" t="n">
        <v>45386</v>
      </c>
      <c r="H4" s="11" t="n">
        <v>21</v>
      </c>
      <c r="I4" s="11" t="n">
        <v>21</v>
      </c>
      <c r="J4" s="16" t="n">
        <v>18900</v>
      </c>
      <c r="K4" s="16" t="n">
        <v>2700</v>
      </c>
      <c r="L4" s="16" t="n">
        <v>3500</v>
      </c>
      <c r="M4" s="17">
        <f>IF(COUNTA(J4:L4)&lt;3,"",ROUND(SUM(J4:L4),2))</f>
        <v>25100.00</v>
      </c>
      <c r="N4" s="16" t="n">
        <v>1779.14</v>
      </c>
      <c r="O4" s="16" t="n">
        <v>2254.17</v>
      </c>
      <c r="P4" s="16" t="n">
        <v>400</v>
      </c>
      <c r="Q4" s="17">
        <f>IF(OR(M4="",COUNTA(N4:P4)&lt;3),"",ROUND(M4-SUM(N4:P4),2))</f>
        <v>20666.69</v>
      </c>
    </row>
    <row r="5" ht="22" customHeight="1">
      <c r="A5" s="9" t="inlineStr">
        <is>
          <t>E0004</t>
        </is>
      </c>
      <c r="B5" s="9" t="inlineStr">
        <is>
          <t>周子彤</t>
        </is>
      </c>
      <c r="C5" s="9" t="inlineStr">
        <is>
          <t>产品部</t>
        </is>
      </c>
      <c r="D5" s="9" t="inlineStr">
        <is>
          <t>产品经理</t>
        </is>
      </c>
      <c r="E5" s="9" t="inlineStr">
        <is>
          <t>P4-P6</t>
        </is>
      </c>
      <c r="F5" s="9" t="inlineStr">
        <is>
          <t>在职</t>
        </is>
      </c>
      <c r="G5" s="15" t="n">
        <v>44321</v>
      </c>
      <c r="H5" s="11" t="n">
        <v>23</v>
      </c>
      <c r="I5" s="11" t="n">
        <v>23</v>
      </c>
      <c r="J5" s="16" t="n">
        <v>24000</v>
      </c>
      <c r="K5" s="16" t="n">
        <v>3500</v>
      </c>
      <c r="L5" s="16" t="n">
        <v>4900</v>
      </c>
      <c r="M5" s="17">
        <f>IF(COUNTA(J5:L5)&lt;3,"",ROUND(SUM(J5:L5),2))</f>
        <v>32400.00</v>
      </c>
      <c r="N5" s="16" t="n">
        <v>2138.83</v>
      </c>
      <c r="O5" s="16" t="n">
        <v>3655.29</v>
      </c>
      <c r="P5" s="16" t="n">
        <v>400</v>
      </c>
      <c r="Q5" s="17">
        <f>IF(OR(M5="",COUNTA(N5:P5)&lt;3),"",ROUND(M5-SUM(N5:P5),2))</f>
        <v>26205.88</v>
      </c>
    </row>
    <row r="6" ht="22" customHeight="1">
      <c r="A6" s="9" t="inlineStr">
        <is>
          <t>E0005</t>
        </is>
      </c>
      <c r="B6" s="9" t="inlineStr">
        <is>
          <t>吴浩琳</t>
        </is>
      </c>
      <c r="C6" s="9" t="inlineStr">
        <is>
          <t>市场部</t>
        </is>
      </c>
      <c r="D6" s="9" t="inlineStr">
        <is>
          <t>品牌经理</t>
        </is>
      </c>
      <c r="E6" s="9" t="inlineStr">
        <is>
          <t>P5-P6</t>
        </is>
      </c>
      <c r="F6" s="9" t="inlineStr">
        <is>
          <t>试用</t>
        </is>
      </c>
      <c r="G6" s="15" t="n">
        <v>44718</v>
      </c>
      <c r="H6" s="11" t="n">
        <v>21</v>
      </c>
      <c r="I6" s="11" t="n">
        <v>20</v>
      </c>
      <c r="J6" s="16" t="n">
        <v>36800</v>
      </c>
      <c r="K6" s="16" t="n">
        <v>4000</v>
      </c>
      <c r="L6" s="16" t="n">
        <v>2000</v>
      </c>
      <c r="M6" s="17">
        <f>IF(COUNTA(J6:L6)&lt;3,"",ROUND(SUM(J6:L6),2))</f>
        <v>42800.00</v>
      </c>
      <c r="N6" s="16" t="n">
        <v>3192.07</v>
      </c>
      <c r="O6" s="16" t="n">
        <v>5991.98</v>
      </c>
      <c r="P6" s="16" t="n">
        <v>0</v>
      </c>
      <c r="Q6" s="17">
        <f>IF(OR(M6="",COUNTA(N6:P6)&lt;3),"",ROUND(M6-SUM(N6:P6),2))</f>
        <v>33615.95</v>
      </c>
    </row>
    <row r="7" ht="22" customHeight="1">
      <c r="A7" s="9" t="inlineStr">
        <is>
          <t>E0006</t>
        </is>
      </c>
      <c r="B7" s="9" t="inlineStr">
        <is>
          <t>郑凯宁</t>
        </is>
      </c>
      <c r="C7" s="9" t="inlineStr">
        <is>
          <t>销售部</t>
        </is>
      </c>
      <c r="D7" s="9" t="inlineStr">
        <is>
          <t>渠道经理</t>
        </is>
      </c>
      <c r="E7" s="9" t="inlineStr">
        <is>
          <t>P4-P6</t>
        </is>
      </c>
      <c r="F7" s="9" t="inlineStr">
        <is>
          <t>休假</t>
        </is>
      </c>
      <c r="G7" s="15" t="n">
        <v>45114</v>
      </c>
      <c r="H7" s="11" t="n">
        <v>21</v>
      </c>
      <c r="I7" s="11" t="n">
        <v>18</v>
      </c>
      <c r="J7" s="16" t="n">
        <v>28900</v>
      </c>
      <c r="K7" s="16" t="n">
        <v>1700</v>
      </c>
      <c r="L7" s="16" t="n">
        <v>2000</v>
      </c>
      <c r="M7" s="17">
        <f>IF(COUNTA(J7:L7)&lt;3,"",ROUND(SUM(J7:L7),2))</f>
        <v>32600.00</v>
      </c>
      <c r="N7" s="16" t="n">
        <v>2170.86</v>
      </c>
      <c r="O7" s="16" t="n">
        <v>3697.28</v>
      </c>
      <c r="P7" s="16" t="n">
        <v>0</v>
      </c>
      <c r="Q7" s="17">
        <f>IF(OR(M7="",COUNTA(N7:P7)&lt;3),"",ROUND(M7-SUM(N7:P7),2))</f>
        <v>26731.86</v>
      </c>
    </row>
    <row r="8" ht="22" customHeight="1">
      <c r="A8" s="9" t="inlineStr">
        <is>
          <t>E0007</t>
        </is>
      </c>
      <c r="B8" s="9" t="inlineStr">
        <is>
          <t>王涵怡</t>
        </is>
      </c>
      <c r="C8" s="9" t="inlineStr">
        <is>
          <t>客服部</t>
        </is>
      </c>
      <c r="D8" s="9" t="inlineStr">
        <is>
          <t>客户成功经理</t>
        </is>
      </c>
      <c r="E8" s="9" t="inlineStr">
        <is>
          <t>P6-P7</t>
        </is>
      </c>
      <c r="F8" s="9" t="inlineStr">
        <is>
          <t>异动</t>
        </is>
      </c>
      <c r="G8" s="15" t="n">
        <v>45512</v>
      </c>
      <c r="H8" s="11" t="n">
        <v>20</v>
      </c>
      <c r="I8" s="11" t="n">
        <v>20</v>
      </c>
      <c r="J8" s="16" t="n">
        <v>31500</v>
      </c>
      <c r="K8" s="16" t="n">
        <v>7800</v>
      </c>
      <c r="L8" s="16" t="n">
        <v>3000</v>
      </c>
      <c r="M8" s="17">
        <f>IF(COUNTA(J8:L8)&lt;3,"",ROUND(SUM(J8:L8),2))</f>
        <v>42300.00</v>
      </c>
      <c r="N8" s="16" t="n">
        <v>2705.75</v>
      </c>
      <c r="O8" s="16" t="n">
        <v>5988.56</v>
      </c>
      <c r="P8" s="16" t="n">
        <v>180</v>
      </c>
      <c r="Q8" s="17">
        <f>IF(OR(M8="",COUNTA(N8:P8)&lt;3),"",ROUND(M8-SUM(N8:P8),2))</f>
        <v>33425.69</v>
      </c>
    </row>
    <row r="9" ht="22" customHeight="1">
      <c r="A9" s="9" t="inlineStr">
        <is>
          <t>E0008</t>
        </is>
      </c>
      <c r="B9" s="9" t="inlineStr">
        <is>
          <t>冯晨昕</t>
        </is>
      </c>
      <c r="C9" s="9" t="inlineStr">
        <is>
          <t>财务部</t>
        </is>
      </c>
      <c r="D9" s="9" t="inlineStr">
        <is>
          <t>应付会计</t>
        </is>
      </c>
      <c r="E9" s="9" t="inlineStr">
        <is>
          <t>P4-P6</t>
        </is>
      </c>
      <c r="F9" s="9" t="inlineStr">
        <is>
          <t>在职</t>
        </is>
      </c>
      <c r="G9" s="15" t="n">
        <v>44448</v>
      </c>
      <c r="H9" s="11" t="n">
        <v>21</v>
      </c>
      <c r="I9" s="11" t="n">
        <v>20</v>
      </c>
      <c r="J9" s="16" t="n">
        <v>23800</v>
      </c>
      <c r="K9" s="16" t="n">
        <v>2100</v>
      </c>
      <c r="L9" s="16" t="n">
        <v>5700</v>
      </c>
      <c r="M9" s="17">
        <f>IF(COUNTA(J9:L9)&lt;3,"",ROUND(SUM(J9:L9),2))</f>
        <v>31600.00</v>
      </c>
      <c r="N9" s="16" t="n">
        <v>2017.19</v>
      </c>
      <c r="O9" s="16" t="n">
        <v>3506.56</v>
      </c>
      <c r="P9" s="16" t="n">
        <v>120</v>
      </c>
      <c r="Q9" s="17">
        <f>IF(OR(M9="",COUNTA(N9:P9)&lt;3),"",ROUND(M9-SUM(N9:P9),2))</f>
        <v>25956.25</v>
      </c>
    </row>
    <row r="10" ht="22" customHeight="1">
      <c r="A10" s="9" t="inlineStr">
        <is>
          <t>E0009</t>
        </is>
      </c>
      <c r="B10" s="9" t="inlineStr">
        <is>
          <t>陈思婷</t>
        </is>
      </c>
      <c r="C10" s="9" t="inlineStr">
        <is>
          <t>人力资源部</t>
        </is>
      </c>
      <c r="D10" s="9" t="inlineStr">
        <is>
          <t>组织发展专员</t>
        </is>
      </c>
      <c r="E10" s="9" t="inlineStr">
        <is>
          <t>P5-P7</t>
        </is>
      </c>
      <c r="F10" s="9" t="inlineStr">
        <is>
          <t>试用</t>
        </is>
      </c>
      <c r="G10" s="15" t="n">
        <v>44844</v>
      </c>
      <c r="H10" s="11" t="n">
        <v>21</v>
      </c>
      <c r="I10" s="11" t="n">
        <v>21</v>
      </c>
      <c r="J10" s="16" t="n">
        <v>38200</v>
      </c>
      <c r="K10" s="16" t="n">
        <v>8800</v>
      </c>
      <c r="L10" s="16" t="n">
        <v>300</v>
      </c>
      <c r="M10" s="17">
        <f>IF(COUNTA(J10:L10)&lt;3,"",ROUND(SUM(J10:L10),2))</f>
        <v>47300.00</v>
      </c>
      <c r="N10" s="16" t="n">
        <v>3041.49</v>
      </c>
      <c r="O10" s="16" t="n">
        <v>7367.55</v>
      </c>
      <c r="P10" s="16" t="n">
        <v>0</v>
      </c>
      <c r="Q10" s="17">
        <f>IF(OR(M10="",COUNTA(N10:P10)&lt;3),"",ROUND(M10-SUM(N10:P10),2))</f>
        <v>36890.96</v>
      </c>
    </row>
    <row r="11" ht="22" customHeight="1">
      <c r="A11" s="9" t="inlineStr">
        <is>
          <t>E0010</t>
        </is>
      </c>
      <c r="B11" s="9" t="inlineStr">
        <is>
          <t>褚若轩</t>
        </is>
      </c>
      <c r="C11" s="9" t="inlineStr">
        <is>
          <t>行政部</t>
        </is>
      </c>
      <c r="D11" s="9" t="inlineStr">
        <is>
          <t>行政专员</t>
        </is>
      </c>
      <c r="E11" s="9" t="inlineStr">
        <is>
          <t>P6-P7</t>
        </is>
      </c>
      <c r="F11" s="9" t="inlineStr">
        <is>
          <t>休假</t>
        </is>
      </c>
      <c r="G11" s="15" t="n">
        <v>45241</v>
      </c>
      <c r="H11" s="11" t="n">
        <v>20</v>
      </c>
      <c r="I11" s="11" t="n">
        <v>18</v>
      </c>
      <c r="J11" s="16" t="n">
        <v>40200</v>
      </c>
      <c r="K11" s="16" t="n">
        <v>4200</v>
      </c>
      <c r="L11" s="16" t="n">
        <v>600</v>
      </c>
      <c r="M11" s="17">
        <f>IF(COUNTA(J11:L11)&lt;3,"",ROUND(SUM(J11:L11),2))</f>
        <v>45000.00</v>
      </c>
      <c r="N11" s="16" t="n">
        <v>3483.52</v>
      </c>
      <c r="O11" s="16" t="n">
        <v>6544.94</v>
      </c>
      <c r="P11" s="16" t="n">
        <v>400</v>
      </c>
      <c r="Q11" s="17">
        <f>IF(OR(M11="",COUNTA(N11:P11)&lt;3),"",ROUND(M11-SUM(N11:P11),2))</f>
        <v>34571.54</v>
      </c>
    </row>
    <row r="12" ht="22" customHeight="1">
      <c r="A12" s="9" t="inlineStr">
        <is>
          <t>E0011</t>
        </is>
      </c>
      <c r="B12" s="9" t="inlineStr">
        <is>
          <t>卫雅琪</t>
        </is>
      </c>
      <c r="C12" s="9" t="inlineStr">
        <is>
          <t>采购部</t>
        </is>
      </c>
      <c r="D12" s="9" t="inlineStr">
        <is>
          <t>供应商管理专员</t>
        </is>
      </c>
      <c r="E12" s="9" t="inlineStr">
        <is>
          <t>P4-P6</t>
        </is>
      </c>
      <c r="F12" s="9" t="inlineStr">
        <is>
          <t>异动</t>
        </is>
      </c>
      <c r="G12" s="15" t="n">
        <v>45638</v>
      </c>
      <c r="H12" s="11" t="n">
        <v>21</v>
      </c>
      <c r="I12" s="11" t="n">
        <v>18</v>
      </c>
      <c r="J12" s="16" t="n">
        <v>31100</v>
      </c>
      <c r="K12" s="16" t="n">
        <v>3400</v>
      </c>
      <c r="L12" s="16" t="n">
        <v>4100</v>
      </c>
      <c r="M12" s="17">
        <f>IF(COUNTA(J12:L12)&lt;3,"",ROUND(SUM(J12:L12),2))</f>
        <v>38600.00</v>
      </c>
      <c r="N12" s="16" t="n">
        <v>2849.55</v>
      </c>
      <c r="O12" s="16" t="n">
        <v>5027.61</v>
      </c>
      <c r="P12" s="16" t="n">
        <v>0</v>
      </c>
      <c r="Q12" s="17">
        <f>IF(OR(M12="",COUNTA(N12:P12)&lt;3),"",ROUND(M12-SUM(N12:P12),2))</f>
        <v>30722.84</v>
      </c>
    </row>
    <row r="13" ht="22" customHeight="1">
      <c r="A13" s="9" t="inlineStr">
        <is>
          <t>E0012</t>
        </is>
      </c>
      <c r="B13" s="9" t="inlineStr">
        <is>
          <t>蒋子彬</t>
        </is>
      </c>
      <c r="C13" s="9" t="inlineStr">
        <is>
          <t>法务部</t>
        </is>
      </c>
      <c r="D13" s="9" t="inlineStr">
        <is>
          <t>合规专员</t>
        </is>
      </c>
      <c r="E13" s="9" t="inlineStr">
        <is>
          <t>P4-P6</t>
        </is>
      </c>
      <c r="F13" s="9" t="inlineStr">
        <is>
          <t>在职</t>
        </is>
      </c>
      <c r="G13" s="15" t="n">
        <v>44209</v>
      </c>
      <c r="H13" s="11" t="n">
        <v>21</v>
      </c>
      <c r="I13" s="11" t="n">
        <v>21</v>
      </c>
      <c r="J13" s="16" t="n">
        <v>31700</v>
      </c>
      <c r="K13" s="16" t="n">
        <v>3000</v>
      </c>
      <c r="L13" s="16" t="n">
        <v>10800</v>
      </c>
      <c r="M13" s="17">
        <f>IF(COUNTA(J13:L13)&lt;3,"",ROUND(SUM(J13:L13),2))</f>
        <v>45500.00</v>
      </c>
      <c r="N13" s="16" t="n">
        <v>2408.11</v>
      </c>
      <c r="O13" s="16" t="n">
        <v>7017.57</v>
      </c>
      <c r="P13" s="16" t="n">
        <v>50</v>
      </c>
      <c r="Q13" s="17">
        <f>IF(OR(M13="",COUNTA(N13:P13)&lt;3),"",ROUND(M13-SUM(N13:P13),2))</f>
        <v>36024.32</v>
      </c>
    </row>
    <row r="14" ht="22" customHeight="1">
      <c r="A14" s="9" t="inlineStr">
        <is>
          <t>E0013</t>
        </is>
      </c>
      <c r="B14" s="9" t="inlineStr">
        <is>
          <t>沈浩妍</t>
        </is>
      </c>
      <c r="C14" s="9" t="inlineStr">
        <is>
          <t>运维部</t>
        </is>
      </c>
      <c r="D14" s="9" t="inlineStr">
        <is>
          <t>系统运维工程师</t>
        </is>
      </c>
      <c r="E14" s="9" t="inlineStr">
        <is>
          <t>P3-P5</t>
        </is>
      </c>
      <c r="F14" s="9" t="inlineStr">
        <is>
          <t>试用</t>
        </is>
      </c>
      <c r="G14" s="15" t="n">
        <v>44606</v>
      </c>
      <c r="H14" s="11" t="n">
        <v>20</v>
      </c>
      <c r="I14" s="11" t="n">
        <v>19</v>
      </c>
      <c r="J14" s="16" t="n">
        <v>21300</v>
      </c>
      <c r="K14" s="16" t="n">
        <v>2300</v>
      </c>
      <c r="L14" s="16" t="n">
        <v>1800</v>
      </c>
      <c r="M14" s="17">
        <f>IF(COUNTA(J14:L14)&lt;3,"",ROUND(SUM(J14:L14),2))</f>
        <v>25400.00</v>
      </c>
      <c r="N14" s="16" t="n">
        <v>1786.02</v>
      </c>
      <c r="O14" s="16" t="n">
        <v>2312.8</v>
      </c>
      <c r="P14" s="16" t="n">
        <v>50</v>
      </c>
      <c r="Q14" s="17">
        <f>IF(OR(M14="",COUNTA(N14:P14)&lt;3),"",ROUND(M14-SUM(N14:P14),2))</f>
        <v>21251.18</v>
      </c>
    </row>
    <row r="15" ht="22" customHeight="1">
      <c r="A15" s="9" t="inlineStr">
        <is>
          <t>E0014</t>
        </is>
      </c>
      <c r="B15" s="9" t="inlineStr">
        <is>
          <t>韩凯博</t>
        </is>
      </c>
      <c r="C15" s="9" t="inlineStr">
        <is>
          <t>信息安全部</t>
        </is>
      </c>
      <c r="D15" s="9" t="inlineStr">
        <is>
          <t>安全运营专员</t>
        </is>
      </c>
      <c r="E15" s="9" t="inlineStr">
        <is>
          <t>P3-P5</t>
        </is>
      </c>
      <c r="F15" s="9" t="inlineStr">
        <is>
          <t>休假</t>
        </is>
      </c>
      <c r="G15" s="15" t="n">
        <v>45000</v>
      </c>
      <c r="H15" s="11" t="n">
        <v>21</v>
      </c>
      <c r="I15" s="11" t="n">
        <v>17</v>
      </c>
      <c r="J15" s="16" t="n">
        <v>23700</v>
      </c>
      <c r="K15" s="16" t="n">
        <v>3400</v>
      </c>
      <c r="L15" s="16" t="n">
        <v>800</v>
      </c>
      <c r="M15" s="17">
        <f>IF(COUNTA(J15:L15)&lt;3,"",ROUND(SUM(J15:L15),2))</f>
        <v>27900.00</v>
      </c>
      <c r="N15" s="16" t="n">
        <v>2014.02</v>
      </c>
      <c r="O15" s="16" t="n">
        <v>2767.2</v>
      </c>
      <c r="P15" s="16" t="n">
        <v>0</v>
      </c>
      <c r="Q15" s="17">
        <f>IF(OR(M15="",COUNTA(N15:P15)&lt;3),"",ROUND(M15-SUM(N15:P15),2))</f>
        <v>23118.78</v>
      </c>
    </row>
    <row r="16" ht="22" customHeight="1">
      <c r="A16" s="9" t="inlineStr">
        <is>
          <t>E0015</t>
        </is>
      </c>
      <c r="B16" s="9" t="inlineStr">
        <is>
          <t>杨涵瑜</t>
        </is>
      </c>
      <c r="C16" s="9" t="inlineStr">
        <is>
          <t>总经办</t>
        </is>
      </c>
      <c r="D16" s="9" t="inlineStr">
        <is>
          <t>行政秘书</t>
        </is>
      </c>
      <c r="E16" s="9" t="inlineStr">
        <is>
          <t>P1-P2</t>
        </is>
      </c>
      <c r="F16" s="9" t="inlineStr">
        <is>
          <t>异动</t>
        </is>
      </c>
      <c r="G16" s="15" t="n">
        <v>45398</v>
      </c>
      <c r="H16" s="11" t="n">
        <v>23</v>
      </c>
      <c r="I16" s="11" t="n">
        <v>20</v>
      </c>
      <c r="J16" s="16" t="n">
        <v>9700</v>
      </c>
      <c r="K16" s="16" t="n">
        <v>1500</v>
      </c>
      <c r="L16" s="16" t="n">
        <v>400</v>
      </c>
      <c r="M16" s="17">
        <f>IF(COUNTA(J16:L16)&lt;3,"",ROUND(SUM(J16:L16),2))</f>
        <v>11600.00</v>
      </c>
      <c r="N16" s="16" t="n">
        <v>885.21</v>
      </c>
      <c r="O16" s="16" t="n">
        <v>361.48</v>
      </c>
      <c r="P16" s="16" t="n">
        <v>80</v>
      </c>
      <c r="Q16" s="17">
        <f>IF(OR(M16="",COUNTA(N16:P16)&lt;3),"",ROUND(M16-SUM(N16:P16),2))</f>
        <v>10273.31</v>
      </c>
    </row>
    <row r="17" ht="22" customHeight="1">
      <c r="A17" s="9" t="inlineStr">
        <is>
          <t>E0016</t>
        </is>
      </c>
      <c r="B17" s="9" t="inlineStr">
        <is>
          <t>朱晨杰</t>
        </is>
      </c>
      <c r="C17" s="9" t="inlineStr">
        <is>
          <t>研发部</t>
        </is>
      </c>
      <c r="D17" s="9" t="inlineStr">
        <is>
          <t>测试开发工程师</t>
        </is>
      </c>
      <c r="E17" s="9" t="inlineStr">
        <is>
          <t>P3-P5</t>
        </is>
      </c>
      <c r="F17" s="9" t="inlineStr">
        <is>
          <t>在职</t>
        </is>
      </c>
      <c r="G17" s="15" t="n">
        <v>44333</v>
      </c>
      <c r="H17" s="11" t="n">
        <v>21</v>
      </c>
      <c r="I17" s="11" t="n">
        <v>21</v>
      </c>
      <c r="J17" s="16" t="n">
        <v>20900</v>
      </c>
      <c r="K17" s="16" t="n">
        <v>2200</v>
      </c>
      <c r="L17" s="16" t="n">
        <v>6800</v>
      </c>
      <c r="M17" s="17">
        <f>IF(COUNTA(J17:L17)&lt;3,"",ROUND(SUM(J17:L17),2))</f>
        <v>29900.00</v>
      </c>
      <c r="N17" s="16" t="n">
        <v>1940.05</v>
      </c>
      <c r="O17" s="16" t="n">
        <v>3181.99</v>
      </c>
      <c r="P17" s="16" t="n">
        <v>120</v>
      </c>
      <c r="Q17" s="17">
        <f>IF(OR(M17="",COUNTA(N17:P17)&lt;3),"",ROUND(M17-SUM(N17:P17),2))</f>
        <v>24657.96</v>
      </c>
    </row>
    <row r="18" ht="22" customHeight="1">
      <c r="A18" s="9" t="inlineStr">
        <is>
          <t>E0017</t>
        </is>
      </c>
      <c r="B18" s="9" t="inlineStr">
        <is>
          <t>秦思瑶</t>
        </is>
      </c>
      <c r="C18" s="9" t="inlineStr">
        <is>
          <t>数据部</t>
        </is>
      </c>
      <c r="D18" s="9" t="inlineStr">
        <is>
          <t>数据分析师</t>
        </is>
      </c>
      <c r="E18" s="9" t="inlineStr">
        <is>
          <t>P3-P5</t>
        </is>
      </c>
      <c r="F18" s="9" t="inlineStr">
        <is>
          <t>试用</t>
        </is>
      </c>
      <c r="G18" s="15" t="n">
        <v>44730</v>
      </c>
      <c r="H18" s="11" t="n">
        <v>20</v>
      </c>
      <c r="I18" s="11" t="n">
        <v>20</v>
      </c>
      <c r="J18" s="16" t="n">
        <v>23800</v>
      </c>
      <c r="K18" s="16" t="n">
        <v>1200</v>
      </c>
      <c r="L18" s="16" t="n">
        <v>1300</v>
      </c>
      <c r="M18" s="17">
        <f>IF(COUNTA(J18:L18)&lt;3,"",ROUND(SUM(J18:L18),2))</f>
        <v>26300.00</v>
      </c>
      <c r="N18" s="16" t="n">
        <v>2078.63</v>
      </c>
      <c r="O18" s="16" t="n">
        <v>2434.27</v>
      </c>
      <c r="P18" s="16" t="n">
        <v>0</v>
      </c>
      <c r="Q18" s="17">
        <f>IF(OR(M18="",COUNTA(N18:P18)&lt;3),"",ROUND(M18-SUM(N18:P18),2))</f>
        <v>21787.10</v>
      </c>
    </row>
    <row r="19" ht="22" customHeight="1">
      <c r="A19" s="9" t="inlineStr">
        <is>
          <t>E0018</t>
        </is>
      </c>
      <c r="B19" s="9" t="inlineStr">
        <is>
          <t>尤若航</t>
        </is>
      </c>
      <c r="C19" s="9" t="inlineStr">
        <is>
          <t>产品部</t>
        </is>
      </c>
      <c r="D19" s="9" t="inlineStr">
        <is>
          <t>交互设计师</t>
        </is>
      </c>
      <c r="E19" s="9" t="inlineStr">
        <is>
          <t>P4-P6</t>
        </is>
      </c>
      <c r="F19" s="9" t="inlineStr">
        <is>
          <t>休假</t>
        </is>
      </c>
      <c r="G19" s="15" t="n">
        <v>45126</v>
      </c>
      <c r="H19" s="11" t="n">
        <v>22</v>
      </c>
      <c r="I19" s="11" t="n">
        <v>19</v>
      </c>
      <c r="J19" s="16" t="n">
        <v>26500</v>
      </c>
      <c r="K19" s="16" t="n">
        <v>5000</v>
      </c>
      <c r="L19" s="16" t="n">
        <v>1600</v>
      </c>
      <c r="M19" s="17">
        <f>IF(COUNTA(J19:L19)&lt;3,"",ROUND(SUM(J19:L19),2))</f>
        <v>33100.00</v>
      </c>
      <c r="N19" s="16" t="n">
        <v>2462.58</v>
      </c>
      <c r="O19" s="16" t="n">
        <v>3749.35</v>
      </c>
      <c r="P19" s="16" t="n">
        <v>600</v>
      </c>
      <c r="Q19" s="17">
        <f>IF(OR(M19="",COUNTA(N19:P19)&lt;3),"",ROUND(M19-SUM(N19:P19),2))</f>
        <v>26288.07</v>
      </c>
    </row>
    <row r="20" ht="22" customHeight="1">
      <c r="A20" s="9" t="inlineStr">
        <is>
          <t>E0019</t>
        </is>
      </c>
      <c r="B20" s="9" t="inlineStr">
        <is>
          <t>许雅哲</t>
        </is>
      </c>
      <c r="C20" s="9" t="inlineStr">
        <is>
          <t>市场部</t>
        </is>
      </c>
      <c r="D20" s="9" t="inlineStr">
        <is>
          <t>市场专员</t>
        </is>
      </c>
      <c r="E20" s="9" t="inlineStr">
        <is>
          <t>P5-P6</t>
        </is>
      </c>
      <c r="F20" s="9" t="inlineStr">
        <is>
          <t>异动</t>
        </is>
      </c>
      <c r="G20" s="15" t="n">
        <v>45524</v>
      </c>
      <c r="H20" s="11" t="n">
        <v>23</v>
      </c>
      <c r="I20" s="11" t="n">
        <v>22</v>
      </c>
      <c r="J20" s="16" t="n">
        <v>38200</v>
      </c>
      <c r="K20" s="16" t="n">
        <v>2200</v>
      </c>
      <c r="L20" s="16" t="n">
        <v>6100</v>
      </c>
      <c r="M20" s="17">
        <f>IF(COUNTA(J20:L20)&lt;3,"",ROUND(SUM(J20:L20),2))</f>
        <v>46500.00</v>
      </c>
      <c r="N20" s="16" t="n">
        <v>2892.11</v>
      </c>
      <c r="O20" s="16" t="n">
        <v>7172.37</v>
      </c>
      <c r="P20" s="16" t="n">
        <v>260</v>
      </c>
      <c r="Q20" s="17">
        <f>IF(OR(M20="",COUNTA(N20:P20)&lt;3),"",ROUND(M20-SUM(N20:P20),2))</f>
        <v>36175.52</v>
      </c>
    </row>
    <row r="21" ht="22" customHeight="1">
      <c r="A21" s="9" t="inlineStr">
        <is>
          <t>E0020</t>
        </is>
      </c>
      <c r="B21" s="9" t="inlineStr">
        <is>
          <t>何子霖</t>
        </is>
      </c>
      <c r="C21" s="9" t="inlineStr">
        <is>
          <t>销售部</t>
        </is>
      </c>
      <c r="D21" s="9" t="inlineStr">
        <is>
          <t>销售代表</t>
        </is>
      </c>
      <c r="E21" s="9" t="inlineStr">
        <is>
          <t>P4-P6</t>
        </is>
      </c>
      <c r="F21" s="9" t="inlineStr">
        <is>
          <t>在职</t>
        </is>
      </c>
      <c r="G21" s="15" t="n">
        <v>44460</v>
      </c>
      <c r="H21" s="11" t="n">
        <v>20</v>
      </c>
      <c r="I21" s="11" t="n">
        <v>20</v>
      </c>
      <c r="J21" s="16" t="n">
        <v>28300</v>
      </c>
      <c r="K21" s="16" t="n">
        <v>2800</v>
      </c>
      <c r="L21" s="16" t="n">
        <v>9500</v>
      </c>
      <c r="M21" s="17">
        <f>IF(COUNTA(J21:L21)&lt;3,"",ROUND(SUM(J21:L21),2))</f>
        <v>40600.00</v>
      </c>
      <c r="N21" s="16" t="n">
        <v>2589.69</v>
      </c>
      <c r="O21" s="16" t="n">
        <v>5592.58</v>
      </c>
      <c r="P21" s="16" t="n">
        <v>80</v>
      </c>
      <c r="Q21" s="17">
        <f>IF(OR(M21="",COUNTA(N21:P21)&lt;3),"",ROUND(M21-SUM(N21:P21),2))</f>
        <v>32337.73</v>
      </c>
    </row>
    <row r="22" ht="22" customHeight="1">
      <c r="A22" s="9" t="inlineStr">
        <is>
          <t>E0021</t>
        </is>
      </c>
      <c r="B22" s="9" t="inlineStr">
        <is>
          <t>吕浩涵</t>
        </is>
      </c>
      <c r="C22" s="9" t="inlineStr">
        <is>
          <t>客服部</t>
        </is>
      </c>
      <c r="D22" s="9" t="inlineStr">
        <is>
          <t>工单协调员</t>
        </is>
      </c>
      <c r="E22" s="9" t="inlineStr">
        <is>
          <t>P6-P7</t>
        </is>
      </c>
      <c r="F22" s="9" t="inlineStr">
        <is>
          <t>试用</t>
        </is>
      </c>
      <c r="G22" s="15" t="n">
        <v>44856</v>
      </c>
      <c r="H22" s="11" t="n">
        <v>23</v>
      </c>
      <c r="I22" s="11" t="n">
        <v>22</v>
      </c>
      <c r="J22" s="16" t="n">
        <v>31800</v>
      </c>
      <c r="K22" s="16" t="n">
        <v>5100</v>
      </c>
      <c r="L22" s="16" t="n">
        <v>2400</v>
      </c>
      <c r="M22" s="17">
        <f>IF(COUNTA(J22:L22)&lt;3,"",ROUND(SUM(J22:L22),2))</f>
        <v>39300.00</v>
      </c>
      <c r="N22" s="16" t="n">
        <v>2439.27</v>
      </c>
      <c r="O22" s="16" t="n">
        <v>5305.18</v>
      </c>
      <c r="P22" s="16" t="n">
        <v>900</v>
      </c>
      <c r="Q22" s="17">
        <f>IF(OR(M22="",COUNTA(N22:P22)&lt;3),"",ROUND(M22-SUM(N22:P22),2))</f>
        <v>30655.55</v>
      </c>
    </row>
    <row r="23" ht="22" customHeight="1">
      <c r="A23" s="9" t="inlineStr">
        <is>
          <t>E0022</t>
        </is>
      </c>
      <c r="B23" s="9" t="inlineStr">
        <is>
          <t>施凯妤</t>
        </is>
      </c>
      <c r="C23" s="9" t="inlineStr">
        <is>
          <t>财务部</t>
        </is>
      </c>
      <c r="D23" s="9" t="inlineStr">
        <is>
          <t>费用审核专员</t>
        </is>
      </c>
      <c r="E23" s="9" t="inlineStr">
        <is>
          <t>P4-P6</t>
        </is>
      </c>
      <c r="F23" s="9" t="inlineStr">
        <is>
          <t>休假</t>
        </is>
      </c>
      <c r="G23" s="15" t="n">
        <v>45253</v>
      </c>
      <c r="H23" s="11" t="n">
        <v>20</v>
      </c>
      <c r="I23" s="11" t="n">
        <v>15</v>
      </c>
      <c r="J23" s="16" t="n">
        <v>21000</v>
      </c>
      <c r="K23" s="16" t="n">
        <v>4400</v>
      </c>
      <c r="L23" s="16" t="n">
        <v>300</v>
      </c>
      <c r="M23" s="17">
        <f>IF(COUNTA(J23:L23)&lt;3,"",ROUND(SUM(J23:L23),2))</f>
        <v>25700.00</v>
      </c>
      <c r="N23" s="16" t="n">
        <v>1935.28</v>
      </c>
      <c r="O23" s="16" t="n">
        <v>2342.94</v>
      </c>
      <c r="P23" s="16" t="n">
        <v>180</v>
      </c>
      <c r="Q23" s="17">
        <f>IF(OR(M23="",COUNTA(N23:P23)&lt;3),"",ROUND(M23-SUM(N23:P23),2))</f>
        <v>21241.78</v>
      </c>
    </row>
    <row r="24" ht="22" customHeight="1">
      <c r="A24" s="9" t="inlineStr">
        <is>
          <t>E0023</t>
        </is>
      </c>
      <c r="B24" s="9" t="inlineStr">
        <is>
          <t>张涵然</t>
        </is>
      </c>
      <c r="C24" s="9" t="inlineStr">
        <is>
          <t>人力资源部</t>
        </is>
      </c>
      <c r="D24" s="9" t="inlineStr">
        <is>
          <t>HRBP</t>
        </is>
      </c>
      <c r="E24" s="9" t="inlineStr">
        <is>
          <t>P5-P7</t>
        </is>
      </c>
      <c r="F24" s="9" t="inlineStr">
        <is>
          <t>异动</t>
        </is>
      </c>
      <c r="G24" s="15" t="n">
        <v>45650</v>
      </c>
      <c r="H24" s="11" t="n">
        <v>21</v>
      </c>
      <c r="I24" s="11" t="n">
        <v>21</v>
      </c>
      <c r="J24" s="16" t="n">
        <v>29300</v>
      </c>
      <c r="K24" s="16" t="n">
        <v>9700</v>
      </c>
      <c r="L24" s="16" t="n">
        <v>4300</v>
      </c>
      <c r="M24" s="17">
        <f>IF(COUNTA(J24:L24)&lt;3,"",ROUND(SUM(J24:L24),2))</f>
        <v>43300.00</v>
      </c>
      <c r="N24" s="16" t="n">
        <v>2259.9</v>
      </c>
      <c r="O24" s="16" t="n">
        <v>6402.03</v>
      </c>
      <c r="P24" s="16" t="n">
        <v>180</v>
      </c>
      <c r="Q24" s="17">
        <f>IF(OR(M24="",COUNTA(N24:P24)&lt;3),"",ROUND(M24-SUM(N24:P24),2))</f>
        <v>34458.07</v>
      </c>
    </row>
    <row r="25" ht="22" customHeight="1">
      <c r="A25" s="9" t="inlineStr">
        <is>
          <t>E0024</t>
        </is>
      </c>
      <c r="B25" s="9" t="inlineStr">
        <is>
          <t>孔晨珺</t>
        </is>
      </c>
      <c r="C25" s="9" t="inlineStr">
        <is>
          <t>行政部</t>
        </is>
      </c>
      <c r="D25" s="9" t="inlineStr">
        <is>
          <t>资产管理员</t>
        </is>
      </c>
      <c r="E25" s="9" t="inlineStr">
        <is>
          <t>P6-P7</t>
        </is>
      </c>
      <c r="F25" s="9" t="inlineStr">
        <is>
          <t>在职</t>
        </is>
      </c>
      <c r="G25" s="15" t="n">
        <v>44221</v>
      </c>
      <c r="H25" s="11" t="n">
        <v>20</v>
      </c>
      <c r="I25" s="11" t="n">
        <v>20</v>
      </c>
      <c r="J25" s="16" t="n">
        <v>44200</v>
      </c>
      <c r="K25" s="16" t="n">
        <v>5800</v>
      </c>
      <c r="L25" s="16" t="n">
        <v>11800</v>
      </c>
      <c r="M25" s="17">
        <f>IF(COUNTA(J25:L25)&lt;3,"",ROUND(SUM(J25:L25),2))</f>
        <v>61800.00</v>
      </c>
      <c r="N25" s="16" t="n">
        <v>3479.91</v>
      </c>
      <c r="O25" s="16" t="n">
        <v>11586.03</v>
      </c>
      <c r="P25" s="16" t="n">
        <v>400</v>
      </c>
      <c r="Q25" s="17">
        <f>IF(OR(M25="",COUNTA(N25:P25)&lt;3),"",ROUND(M25-SUM(N25:P25),2))</f>
        <v>46334.06</v>
      </c>
    </row>
    <row r="26" ht="22" customHeight="1">
      <c r="A26" s="9" t="inlineStr">
        <is>
          <t>E0025</t>
        </is>
      </c>
      <c r="B26" s="9" t="inlineStr">
        <is>
          <t>曹思彤</t>
        </is>
      </c>
      <c r="C26" s="9" t="inlineStr">
        <is>
          <t>采购部</t>
        </is>
      </c>
      <c r="D26" s="9" t="inlineStr">
        <is>
          <t>采购专员</t>
        </is>
      </c>
      <c r="E26" s="9" t="inlineStr">
        <is>
          <t>P4-P6</t>
        </is>
      </c>
      <c r="F26" s="9" t="inlineStr">
        <is>
          <t>试用</t>
        </is>
      </c>
      <c r="G26" s="15" t="n">
        <v>44593</v>
      </c>
      <c r="H26" s="11" t="n">
        <v>22</v>
      </c>
      <c r="I26" s="11" t="n">
        <v>22</v>
      </c>
      <c r="J26" s="16" t="n">
        <v>18900</v>
      </c>
      <c r="K26" s="16" t="n">
        <v>5600</v>
      </c>
      <c r="L26" s="16" t="n">
        <v>1100</v>
      </c>
      <c r="M26" s="17">
        <f>IF(COUNTA(J26:L26)&lt;3,"",ROUND(SUM(J26:L26),2))</f>
        <v>25600.00</v>
      </c>
      <c r="N26" s="16" t="n">
        <v>1629.94</v>
      </c>
      <c r="O26" s="16" t="n">
        <v>2384.01</v>
      </c>
      <c r="P26" s="16" t="n">
        <v>0</v>
      </c>
      <c r="Q26" s="17">
        <f>IF(OR(M26="",COUNTA(N26:P26)&lt;3),"",ROUND(M26-SUM(N26:P26),2))</f>
        <v>21586.05</v>
      </c>
    </row>
    <row r="27" ht="22" customHeight="1">
      <c r="A27" s="9" t="inlineStr">
        <is>
          <t>E0026</t>
        </is>
      </c>
      <c r="B27" s="9" t="inlineStr">
        <is>
          <t>严若琳</t>
        </is>
      </c>
      <c r="C27" s="9" t="inlineStr">
        <is>
          <t>法务部</t>
        </is>
      </c>
      <c r="D27" s="9" t="inlineStr">
        <is>
          <t>合同审核专员</t>
        </is>
      </c>
      <c r="E27" s="9" t="inlineStr">
        <is>
          <t>P4-P6</t>
        </is>
      </c>
      <c r="F27" s="9" t="inlineStr">
        <is>
          <t>休假</t>
        </is>
      </c>
      <c r="G27" s="15" t="n">
        <v>44987</v>
      </c>
      <c r="H27" s="11" t="n">
        <v>21</v>
      </c>
      <c r="I27" s="11" t="n">
        <v>16</v>
      </c>
      <c r="J27" s="16" t="n">
        <v>24000</v>
      </c>
      <c r="K27" s="16" t="n">
        <v>5600</v>
      </c>
      <c r="L27" s="16" t="n">
        <v>600</v>
      </c>
      <c r="M27" s="17">
        <f>IF(COUNTA(J27:L27)&lt;3,"",ROUND(SUM(J27:L27),2))</f>
        <v>30200.00</v>
      </c>
      <c r="N27" s="16" t="n">
        <v>2000.47</v>
      </c>
      <c r="O27" s="16" t="n">
        <v>3229.91</v>
      </c>
      <c r="P27" s="16" t="n">
        <v>0</v>
      </c>
      <c r="Q27" s="17">
        <f>IF(OR(M27="",COUNTA(N27:P27)&lt;3),"",ROUND(M27-SUM(N27:P27),2))</f>
        <v>24969.62</v>
      </c>
    </row>
    <row r="28" ht="22" customHeight="1">
      <c r="A28" s="9" t="inlineStr">
        <is>
          <t>E0027</t>
        </is>
      </c>
      <c r="B28" s="9" t="inlineStr">
        <is>
          <t>华雅宁</t>
        </is>
      </c>
      <c r="C28" s="9" t="inlineStr">
        <is>
          <t>运维部</t>
        </is>
      </c>
      <c r="D28" s="9" t="inlineStr">
        <is>
          <t>值班工程师</t>
        </is>
      </c>
      <c r="E28" s="9" t="inlineStr">
        <is>
          <t>P3-P5</t>
        </is>
      </c>
      <c r="F28" s="9" t="inlineStr">
        <is>
          <t>异动</t>
        </is>
      </c>
      <c r="G28" s="15" t="n">
        <v>45385</v>
      </c>
      <c r="H28" s="11" t="n">
        <v>20</v>
      </c>
      <c r="I28" s="11" t="n">
        <v>18</v>
      </c>
      <c r="J28" s="16" t="n">
        <v>14900</v>
      </c>
      <c r="K28" s="16" t="n">
        <v>3400</v>
      </c>
      <c r="L28" s="16" t="n">
        <v>900</v>
      </c>
      <c r="M28" s="17">
        <f>IF(COUNTA(J28:L28)&lt;3,"",ROUND(SUM(J28:L28),2))</f>
        <v>19200.00</v>
      </c>
      <c r="N28" s="16" t="n">
        <v>1223.82</v>
      </c>
      <c r="O28" s="16" t="n">
        <v>1185.24</v>
      </c>
      <c r="P28" s="16" t="n">
        <v>900</v>
      </c>
      <c r="Q28" s="17">
        <f>IF(OR(M28="",COUNTA(N28:P28)&lt;3),"",ROUND(M28-SUM(N28:P28),2))</f>
        <v>15890.94</v>
      </c>
    </row>
    <row r="29" ht="22" customHeight="1">
      <c r="A29" s="9" t="inlineStr">
        <is>
          <t>E0028</t>
        </is>
      </c>
      <c r="B29" s="9" t="inlineStr">
        <is>
          <t>金子怡</t>
        </is>
      </c>
      <c r="C29" s="9" t="inlineStr">
        <is>
          <t>信息安全部</t>
        </is>
      </c>
      <c r="D29" s="9" t="inlineStr">
        <is>
          <t>安全工程师</t>
        </is>
      </c>
      <c r="E29" s="9" t="inlineStr">
        <is>
          <t>P3-P5</t>
        </is>
      </c>
      <c r="F29" s="9" t="inlineStr">
        <is>
          <t>在职</t>
        </is>
      </c>
      <c r="G29" s="15" t="n">
        <v>44320</v>
      </c>
      <c r="H29" s="11" t="n">
        <v>21</v>
      </c>
      <c r="I29" s="11" t="n">
        <v>21</v>
      </c>
      <c r="J29" s="16" t="n">
        <v>16400</v>
      </c>
      <c r="K29" s="16" t="n">
        <v>1300</v>
      </c>
      <c r="L29" s="16" t="n">
        <v>5400</v>
      </c>
      <c r="M29" s="17">
        <f>IF(COUNTA(J29:L29)&lt;3,"",ROUND(SUM(J29:L29),2))</f>
        <v>23100.00</v>
      </c>
      <c r="N29" s="16" t="n">
        <v>1489.47</v>
      </c>
      <c r="O29" s="16" t="n">
        <v>1912.11</v>
      </c>
      <c r="P29" s="16" t="n">
        <v>260</v>
      </c>
      <c r="Q29" s="17">
        <f>IF(OR(M29="",COUNTA(N29:P29)&lt;3),"",ROUND(M29-SUM(N29:P29),2))</f>
        <v>19438.42</v>
      </c>
    </row>
    <row r="30" ht="22" customHeight="1">
      <c r="A30" s="9" t="inlineStr">
        <is>
          <t>E0029</t>
        </is>
      </c>
      <c r="B30" s="9" t="inlineStr">
        <is>
          <t>魏浩昕</t>
        </is>
      </c>
      <c r="C30" s="9" t="inlineStr">
        <is>
          <t>总经办</t>
        </is>
      </c>
      <c r="D30" s="9" t="inlineStr">
        <is>
          <t>战略分析经理</t>
        </is>
      </c>
      <c r="E30" s="9" t="inlineStr">
        <is>
          <t>P1-P2</t>
        </is>
      </c>
      <c r="F30" s="9" t="inlineStr">
        <is>
          <t>试用</t>
        </is>
      </c>
      <c r="G30" s="15" t="n">
        <v>44717</v>
      </c>
      <c r="H30" s="11" t="n">
        <v>22</v>
      </c>
      <c r="I30" s="11" t="n">
        <v>22</v>
      </c>
      <c r="J30" s="16" t="n">
        <v>11400</v>
      </c>
      <c r="K30" s="16" t="n">
        <v>300</v>
      </c>
      <c r="L30" s="16" t="n">
        <v>400</v>
      </c>
      <c r="M30" s="17">
        <f>IF(COUNTA(J30:L30)&lt;3,"",ROUND(SUM(J30:L30),2))</f>
        <v>12100.00</v>
      </c>
      <c r="N30" s="16" t="n">
        <v>1069.25</v>
      </c>
      <c r="O30" s="16" t="n">
        <v>393.08</v>
      </c>
      <c r="P30" s="16" t="n">
        <v>0</v>
      </c>
      <c r="Q30" s="17">
        <f>IF(OR(M30="",COUNTA(N30:P30)&lt;3),"",ROUND(M30-SUM(N30:P30),2))</f>
        <v>10637.67</v>
      </c>
    </row>
    <row r="31" ht="22" customHeight="1">
      <c r="A31" s="9" t="inlineStr">
        <is>
          <t>E0030</t>
        </is>
      </c>
      <c r="B31" s="9" t="inlineStr">
        <is>
          <t>陶凯婷</t>
        </is>
      </c>
      <c r="C31" s="9" t="inlineStr">
        <is>
          <t>研发部</t>
        </is>
      </c>
      <c r="D31" s="9" t="inlineStr">
        <is>
          <t>前端开发工程师</t>
        </is>
      </c>
      <c r="E31" s="9" t="inlineStr">
        <is>
          <t>P3-P5</t>
        </is>
      </c>
      <c r="F31" s="9" t="inlineStr">
        <is>
          <t>休假</t>
        </is>
      </c>
      <c r="G31" s="15" t="n">
        <v>45113</v>
      </c>
      <c r="H31" s="11" t="n">
        <v>21</v>
      </c>
      <c r="I31" s="11" t="n">
        <v>15</v>
      </c>
      <c r="J31" s="16" t="n">
        <v>16600</v>
      </c>
      <c r="K31" s="16" t="n">
        <v>3700</v>
      </c>
      <c r="L31" s="16" t="n">
        <v>600</v>
      </c>
      <c r="M31" s="17">
        <f>IF(COUNTA(J31:L31)&lt;3,"",ROUND(SUM(J31:L31),2))</f>
        <v>20900.00</v>
      </c>
      <c r="N31" s="16" t="n">
        <v>1320.22</v>
      </c>
      <c r="O31" s="16" t="n">
        <v>1505.96</v>
      </c>
      <c r="P31" s="16" t="n">
        <v>0</v>
      </c>
      <c r="Q31" s="17">
        <f>IF(OR(M31="",COUNTA(N31:P31)&lt;3),"",ROUND(M31-SUM(N31:P31),2))</f>
        <v>18073.82</v>
      </c>
    </row>
    <row r="32" ht="22" customHeight="1">
      <c r="A32" s="9" t="inlineStr">
        <is>
          <t>E0031</t>
        </is>
      </c>
      <c r="B32" s="9" t="inlineStr">
        <is>
          <t>姜涵轩</t>
        </is>
      </c>
      <c r="C32" s="9" t="inlineStr">
        <is>
          <t>数据部</t>
        </is>
      </c>
      <c r="D32" s="9" t="inlineStr">
        <is>
          <t>数据工程师</t>
        </is>
      </c>
      <c r="E32" s="9" t="inlineStr">
        <is>
          <t>P3-P5</t>
        </is>
      </c>
      <c r="F32" s="9" t="inlineStr">
        <is>
          <t>异动</t>
        </is>
      </c>
      <c r="G32" s="15" t="n">
        <v>45511</v>
      </c>
      <c r="H32" s="11" t="n">
        <v>20</v>
      </c>
      <c r="I32" s="11" t="n">
        <v>19</v>
      </c>
      <c r="J32" s="16" t="n">
        <v>16100</v>
      </c>
      <c r="K32" s="16" t="n">
        <v>1100</v>
      </c>
      <c r="L32" s="16" t="n">
        <v>2400</v>
      </c>
      <c r="M32" s="17">
        <f>IF(COUNTA(J32:L32)&lt;3,"",ROUND(SUM(J32:L32),2))</f>
        <v>19600.00</v>
      </c>
      <c r="N32" s="16" t="n">
        <v>1524.39</v>
      </c>
      <c r="O32" s="16" t="n">
        <v>1205.12</v>
      </c>
      <c r="P32" s="16" t="n">
        <v>0</v>
      </c>
      <c r="Q32" s="17">
        <f>IF(OR(M32="",COUNTA(N32:P32)&lt;3),"",ROUND(M32-SUM(N32:P32),2))</f>
        <v>16870.49</v>
      </c>
    </row>
    <row r="33" ht="22" customHeight="1">
      <c r="A33" s="9" t="inlineStr">
        <is>
          <t>E0032</t>
        </is>
      </c>
      <c r="B33" s="9" t="inlineStr">
        <is>
          <t>赵晨琪</t>
        </is>
      </c>
      <c r="C33" s="9" t="inlineStr">
        <is>
          <t>产品部</t>
        </is>
      </c>
      <c r="D33" s="9" t="inlineStr">
        <is>
          <t>需求分析师</t>
        </is>
      </c>
      <c r="E33" s="9" t="inlineStr">
        <is>
          <t>P4-P6</t>
        </is>
      </c>
      <c r="F33" s="9" t="inlineStr">
        <is>
          <t>在职</t>
        </is>
      </c>
      <c r="G33" s="15" t="n">
        <v>44447</v>
      </c>
      <c r="H33" s="11" t="n">
        <v>23</v>
      </c>
      <c r="I33" s="11" t="n">
        <v>22</v>
      </c>
      <c r="J33" s="16" t="n">
        <v>24600</v>
      </c>
      <c r="K33" s="16" t="n">
        <v>4300</v>
      </c>
      <c r="L33" s="16" t="n">
        <v>3700</v>
      </c>
      <c r="M33" s="17">
        <f>IF(COUNTA(J33:L33)&lt;3,"",ROUND(SUM(J33:L33),2))</f>
        <v>32600.00</v>
      </c>
      <c r="N33" s="16" t="n">
        <v>2013.92</v>
      </c>
      <c r="O33" s="16" t="n">
        <v>3736.52</v>
      </c>
      <c r="P33" s="16" t="n">
        <v>120</v>
      </c>
      <c r="Q33" s="17">
        <f>IF(OR(M33="",COUNTA(N33:P33)&lt;3),"",ROUND(M33-SUM(N33:P33),2))</f>
        <v>26729.56</v>
      </c>
    </row>
    <row r="34" ht="22" customHeight="1">
      <c r="A34" s="9" t="inlineStr">
        <is>
          <t>E0033</t>
        </is>
      </c>
      <c r="B34" s="9" t="inlineStr">
        <is>
          <t>钱思彬</t>
        </is>
      </c>
      <c r="C34" s="9" t="inlineStr">
        <is>
          <t>市场部</t>
        </is>
      </c>
      <c r="D34" s="9" t="inlineStr">
        <is>
          <t>内容运营</t>
        </is>
      </c>
      <c r="E34" s="9" t="inlineStr">
        <is>
          <t>P5-P6</t>
        </is>
      </c>
      <c r="F34" s="9" t="inlineStr">
        <is>
          <t>试用</t>
        </is>
      </c>
      <c r="G34" s="15" t="n">
        <v>44843</v>
      </c>
      <c r="H34" s="11" t="n">
        <v>20</v>
      </c>
      <c r="I34" s="11" t="n">
        <v>19</v>
      </c>
      <c r="J34" s="16" t="n">
        <v>26700</v>
      </c>
      <c r="K34" s="16" t="n">
        <v>5000</v>
      </c>
      <c r="L34" s="16" t="n">
        <v>1500</v>
      </c>
      <c r="M34" s="17">
        <f>IF(COUNTA(J34:L34)&lt;3,"",ROUND(SUM(J34:L34),2))</f>
        <v>33200.00</v>
      </c>
      <c r="N34" s="16" t="n">
        <v>2086.9</v>
      </c>
      <c r="O34" s="16" t="n">
        <v>3868.27</v>
      </c>
      <c r="P34" s="16" t="n">
        <v>900</v>
      </c>
      <c r="Q34" s="17">
        <f>IF(OR(M34="",COUNTA(N34:P34)&lt;3),"",ROUND(M34-SUM(N34:P34),2))</f>
        <v>26344.83</v>
      </c>
    </row>
    <row r="35" ht="22" customHeight="1">
      <c r="A35" s="9" t="inlineStr">
        <is>
          <t>E0034</t>
        </is>
      </c>
      <c r="B35" s="9" t="inlineStr">
        <is>
          <t>孙若妍</t>
        </is>
      </c>
      <c r="C35" s="9" t="inlineStr">
        <is>
          <t>销售部</t>
        </is>
      </c>
      <c r="D35" s="9" t="inlineStr">
        <is>
          <t>大客户经理</t>
        </is>
      </c>
      <c r="E35" s="9" t="inlineStr">
        <is>
          <t>P4-P6</t>
        </is>
      </c>
      <c r="F35" s="9" t="inlineStr">
        <is>
          <t>休假</t>
        </is>
      </c>
      <c r="G35" s="15" t="n">
        <v>45240</v>
      </c>
      <c r="H35" s="11" t="n">
        <v>20</v>
      </c>
      <c r="I35" s="11" t="n">
        <v>16</v>
      </c>
      <c r="J35" s="16" t="n">
        <v>30900</v>
      </c>
      <c r="K35" s="16" t="n">
        <v>900</v>
      </c>
      <c r="L35" s="16" t="n">
        <v>1400</v>
      </c>
      <c r="M35" s="17">
        <f>IF(COUNTA(J35:L35)&lt;3,"",ROUND(SUM(J35:L35),2))</f>
        <v>33200.00</v>
      </c>
      <c r="N35" s="16" t="n">
        <v>2802.96</v>
      </c>
      <c r="O35" s="16" t="n">
        <v>3689.26</v>
      </c>
      <c r="P35" s="16" t="n">
        <v>180</v>
      </c>
      <c r="Q35" s="17">
        <f>IF(OR(M35="",COUNTA(N35:P35)&lt;3),"",ROUND(M35-SUM(N35:P35),2))</f>
        <v>26527.78</v>
      </c>
    </row>
    <row r="36" ht="22" customHeight="1">
      <c r="A36" s="9" t="inlineStr">
        <is>
          <t>E0035</t>
        </is>
      </c>
      <c r="B36" s="9" t="inlineStr">
        <is>
          <t>李雅博</t>
        </is>
      </c>
      <c r="C36" s="9" t="inlineStr">
        <is>
          <t>客服部</t>
        </is>
      </c>
      <c r="D36" s="9" t="inlineStr">
        <is>
          <t>售后专员</t>
        </is>
      </c>
      <c r="E36" s="9" t="inlineStr">
        <is>
          <t>P6-P7</t>
        </is>
      </c>
      <c r="F36" s="9" t="inlineStr">
        <is>
          <t>异动</t>
        </is>
      </c>
      <c r="G36" s="15" t="n">
        <v>45637</v>
      </c>
      <c r="H36" s="11" t="n">
        <v>23</v>
      </c>
      <c r="I36" s="11" t="n">
        <v>22</v>
      </c>
      <c r="J36" s="16" t="n">
        <v>34700</v>
      </c>
      <c r="K36" s="16" t="n">
        <v>6300</v>
      </c>
      <c r="L36" s="16" t="n">
        <v>4900</v>
      </c>
      <c r="M36" s="17">
        <f>IF(COUNTA(J36:L36)&lt;3,"",ROUND(SUM(J36:L36),2))</f>
        <v>45900.00</v>
      </c>
      <c r="N36" s="16" t="n">
        <v>3062.55</v>
      </c>
      <c r="O36" s="16" t="n">
        <v>6941.23</v>
      </c>
      <c r="P36" s="16" t="n">
        <v>900</v>
      </c>
      <c r="Q36" s="17">
        <f>IF(OR(M36="",COUNTA(N36:P36)&lt;3),"",ROUND(M36-SUM(N36:P36),2))</f>
        <v>34996.22</v>
      </c>
    </row>
    <row r="37" ht="22" customHeight="1">
      <c r="A37" s="9" t="inlineStr">
        <is>
          <t>E0036</t>
        </is>
      </c>
      <c r="B37" s="9" t="inlineStr">
        <is>
          <t>周子瑜</t>
        </is>
      </c>
      <c r="C37" s="9" t="inlineStr">
        <is>
          <t>财务部</t>
        </is>
      </c>
      <c r="D37" s="9" t="inlineStr">
        <is>
          <t>资金管理员</t>
        </is>
      </c>
      <c r="E37" s="9" t="inlineStr">
        <is>
          <t>P4-P6</t>
        </is>
      </c>
      <c r="F37" s="9" t="inlineStr">
        <is>
          <t>在职</t>
        </is>
      </c>
      <c r="G37" s="15" t="n">
        <v>44208</v>
      </c>
      <c r="H37" s="11" t="n">
        <v>21</v>
      </c>
      <c r="I37" s="11" t="n">
        <v>20</v>
      </c>
      <c r="J37" s="16" t="n">
        <v>22900</v>
      </c>
      <c r="K37" s="16" t="n">
        <v>2800</v>
      </c>
      <c r="L37" s="16" t="n">
        <v>4300</v>
      </c>
      <c r="M37" s="17">
        <f>IF(COUNTA(J37:L37)&lt;3,"",ROUND(SUM(J37:L37),2))</f>
        <v>30000.00</v>
      </c>
      <c r="N37" s="16" t="n">
        <v>2106.73</v>
      </c>
      <c r="O37" s="16" t="n">
        <v>3168.65</v>
      </c>
      <c r="P37" s="16" t="n">
        <v>120</v>
      </c>
      <c r="Q37" s="17">
        <f>IF(OR(M37="",COUNTA(N37:P37)&lt;3),"",ROUND(M37-SUM(N37:P37),2))</f>
        <v>24604.62</v>
      </c>
    </row>
    <row r="38" ht="22" customHeight="1">
      <c r="A38" s="9" t="inlineStr">
        <is>
          <t>E0037</t>
        </is>
      </c>
      <c r="B38" s="9" t="inlineStr">
        <is>
          <t>吴浩杰</t>
        </is>
      </c>
      <c r="C38" s="9" t="inlineStr">
        <is>
          <t>人力资源部</t>
        </is>
      </c>
      <c r="D38" s="9" t="inlineStr">
        <is>
          <t>招聘专员</t>
        </is>
      </c>
      <c r="E38" s="9" t="inlineStr">
        <is>
          <t>P5-P7</t>
        </is>
      </c>
      <c r="F38" s="9" t="inlineStr">
        <is>
          <t>试用</t>
        </is>
      </c>
      <c r="G38" s="15" t="n">
        <v>44605</v>
      </c>
      <c r="H38" s="11" t="n">
        <v>20</v>
      </c>
      <c r="I38" s="11" t="n">
        <v>19</v>
      </c>
      <c r="J38" s="16" t="n">
        <v>40200</v>
      </c>
      <c r="K38" s="16" t="n">
        <v>2200</v>
      </c>
      <c r="L38" s="16" t="n">
        <v>1800</v>
      </c>
      <c r="M38" s="17">
        <f>IF(COUNTA(J38:L38)&lt;3,"",ROUND(SUM(J38:L38),2))</f>
        <v>44200.00</v>
      </c>
      <c r="N38" s="16" t="n">
        <v>3508.22</v>
      </c>
      <c r="O38" s="16" t="n">
        <v>6297.53</v>
      </c>
      <c r="P38" s="16" t="n">
        <v>0</v>
      </c>
      <c r="Q38" s="17">
        <f>IF(OR(M38="",COUNTA(N38:P38)&lt;3),"",ROUND(M38-SUM(N38:P38),2))</f>
        <v>34394.25</v>
      </c>
    </row>
    <row r="39" ht="22" customHeight="1">
      <c r="A39" s="9" t="inlineStr">
        <is>
          <t>E0038</t>
        </is>
      </c>
      <c r="B39" s="9" t="inlineStr">
        <is>
          <t>郑凯瑶</t>
        </is>
      </c>
      <c r="C39" s="9" t="inlineStr">
        <is>
          <t>行政部</t>
        </is>
      </c>
      <c r="D39" s="9" t="inlineStr">
        <is>
          <t>后勤主管</t>
        </is>
      </c>
      <c r="E39" s="9" t="inlineStr">
        <is>
          <t>P6-P7</t>
        </is>
      </c>
      <c r="F39" s="9" t="inlineStr">
        <is>
          <t>休假</t>
        </is>
      </c>
      <c r="G39" s="15" t="n">
        <v>44999</v>
      </c>
      <c r="H39" s="11" t="n">
        <v>23</v>
      </c>
      <c r="I39" s="11" t="n">
        <v>16</v>
      </c>
      <c r="J39" s="16" t="n">
        <v>43300</v>
      </c>
      <c r="K39" s="16" t="n">
        <v>3400</v>
      </c>
      <c r="L39" s="16" t="n">
        <v>1000</v>
      </c>
      <c r="M39" s="17">
        <f>IF(COUNTA(J39:L39)&lt;3,"",ROUND(SUM(J39:L39),2))</f>
        <v>47700.00</v>
      </c>
      <c r="N39" s="16" t="n">
        <v>3336.61</v>
      </c>
      <c r="O39" s="16" t="n">
        <v>7399.02</v>
      </c>
      <c r="P39" s="16" t="n">
        <v>50</v>
      </c>
      <c r="Q39" s="17">
        <f>IF(OR(M39="",COUNTA(N39:P39)&lt;3),"",ROUND(M39-SUM(N39:P39),2))</f>
        <v>36914.37</v>
      </c>
    </row>
    <row r="40" ht="22" customHeight="1">
      <c r="A40" s="9" t="inlineStr">
        <is>
          <t>E0039</t>
        </is>
      </c>
      <c r="B40" s="9" t="inlineStr">
        <is>
          <t>王涵航</t>
        </is>
      </c>
      <c r="C40" s="9" t="inlineStr">
        <is>
          <t>采购部</t>
        </is>
      </c>
      <c r="D40" s="9" t="inlineStr">
        <is>
          <t>采购主管</t>
        </is>
      </c>
      <c r="E40" s="9" t="inlineStr">
        <is>
          <t>P4-P6</t>
        </is>
      </c>
      <c r="F40" s="9" t="inlineStr">
        <is>
          <t>异动</t>
        </is>
      </c>
      <c r="G40" s="15" t="n">
        <v>45397</v>
      </c>
      <c r="H40" s="11" t="n">
        <v>23</v>
      </c>
      <c r="I40" s="11" t="n">
        <v>23</v>
      </c>
      <c r="J40" s="16" t="n">
        <v>23900</v>
      </c>
      <c r="K40" s="16" t="n">
        <v>3700</v>
      </c>
      <c r="L40" s="16" t="n">
        <v>3900</v>
      </c>
      <c r="M40" s="17">
        <f>IF(COUNTA(J40:L40)&lt;3,"",ROUND(SUM(J40:L40),2))</f>
        <v>31500.00</v>
      </c>
      <c r="N40" s="16" t="n">
        <v>2033.38</v>
      </c>
      <c r="O40" s="16" t="n">
        <v>3483.32</v>
      </c>
      <c r="P40" s="16" t="n">
        <v>900</v>
      </c>
      <c r="Q40" s="17">
        <f>IF(OR(M40="",COUNTA(N40:P40)&lt;3),"",ROUND(M40-SUM(N40:P40),2))</f>
        <v>25083.30</v>
      </c>
    </row>
    <row r="41" ht="22" customHeight="1">
      <c r="A41" s="9" t="inlineStr">
        <is>
          <t>E0040</t>
        </is>
      </c>
      <c r="B41" s="9" t="inlineStr">
        <is>
          <t>冯晨哲</t>
        </is>
      </c>
      <c r="C41" s="9" t="inlineStr">
        <is>
          <t>法务部</t>
        </is>
      </c>
      <c r="D41" s="9" t="inlineStr">
        <is>
          <t>法务专员</t>
        </is>
      </c>
      <c r="E41" s="9" t="inlineStr">
        <is>
          <t>P4-P6</t>
        </is>
      </c>
      <c r="F41" s="9" t="inlineStr">
        <is>
          <t>在职</t>
        </is>
      </c>
      <c r="G41" s="15" t="n">
        <v>44332</v>
      </c>
      <c r="H41" s="11" t="n">
        <v>20</v>
      </c>
      <c r="I41" s="11" t="n">
        <v>20</v>
      </c>
      <c r="J41" s="16" t="n">
        <v>21100</v>
      </c>
      <c r="K41" s="16" t="n">
        <v>3000</v>
      </c>
      <c r="L41" s="16" t="n">
        <v>3600</v>
      </c>
      <c r="M41" s="17">
        <f>IF(COUNTA(J41:L41)&lt;3,"",ROUND(SUM(J41:L41),2))</f>
        <v>27700.00</v>
      </c>
      <c r="N41" s="16" t="n">
        <v>1895.27</v>
      </c>
      <c r="O41" s="16" t="n">
        <v>2750.95</v>
      </c>
      <c r="P41" s="16" t="n">
        <v>400</v>
      </c>
      <c r="Q41" s="17">
        <f>IF(OR(M41="",COUNTA(N41:P41)&lt;3),"",ROUND(M41-SUM(N41:P41),2))</f>
        <v>22653.78</v>
      </c>
    </row>
    <row r="42" ht="22" customHeight="1">
      <c r="A42" s="9" t="inlineStr">
        <is>
          <t>E0041</t>
        </is>
      </c>
      <c r="B42" s="9" t="inlineStr">
        <is>
          <t>陈思霖</t>
        </is>
      </c>
      <c r="C42" s="9" t="inlineStr">
        <is>
          <t>运维部</t>
        </is>
      </c>
      <c r="D42" s="9" t="inlineStr">
        <is>
          <t>云平台工程师</t>
        </is>
      </c>
      <c r="E42" s="9" t="inlineStr">
        <is>
          <t>P3-P5</t>
        </is>
      </c>
      <c r="F42" s="9" t="inlineStr">
        <is>
          <t>试用</t>
        </is>
      </c>
      <c r="G42" s="15" t="n">
        <v>44729</v>
      </c>
      <c r="H42" s="11" t="n">
        <v>22</v>
      </c>
      <c r="I42" s="11" t="n">
        <v>22</v>
      </c>
      <c r="J42" s="16" t="n">
        <v>16600</v>
      </c>
      <c r="K42" s="16" t="n">
        <v>1100</v>
      </c>
      <c r="L42" s="16" t="n">
        <v>1200</v>
      </c>
      <c r="M42" s="17">
        <f>IF(COUNTA(J42:L42)&lt;3,"",ROUND(SUM(J42:L42),2))</f>
        <v>18900.00</v>
      </c>
      <c r="N42" s="16" t="n">
        <v>1385.11</v>
      </c>
      <c r="O42" s="16" t="n">
        <v>1092.98</v>
      </c>
      <c r="P42" s="16" t="n">
        <v>80</v>
      </c>
      <c r="Q42" s="17">
        <f>IF(OR(M42="",COUNTA(N42:P42)&lt;3),"",ROUND(M42-SUM(N42:P42),2))</f>
        <v>16341.91</v>
      </c>
    </row>
    <row r="43" ht="22" customHeight="1">
      <c r="A43" s="9" t="inlineStr">
        <is>
          <t>E0042</t>
        </is>
      </c>
      <c r="B43" s="9" t="inlineStr">
        <is>
          <t>褚若涵</t>
        </is>
      </c>
      <c r="C43" s="9" t="inlineStr">
        <is>
          <t>信息安全部</t>
        </is>
      </c>
      <c r="D43" s="9" t="inlineStr">
        <is>
          <t>审计分析师</t>
        </is>
      </c>
      <c r="E43" s="9" t="inlineStr">
        <is>
          <t>P3-P5</t>
        </is>
      </c>
      <c r="F43" s="9" t="inlineStr">
        <is>
          <t>休假</t>
        </is>
      </c>
      <c r="G43" s="15" t="n">
        <v>45125</v>
      </c>
      <c r="H43" s="11" t="n">
        <v>20</v>
      </c>
      <c r="I43" s="11" t="n">
        <v>12</v>
      </c>
      <c r="J43" s="16" t="n">
        <v>14300</v>
      </c>
      <c r="K43" s="16" t="n">
        <v>900</v>
      </c>
      <c r="L43" s="16" t="n">
        <v>400</v>
      </c>
      <c r="M43" s="17">
        <f>IF(COUNTA(J43:L43)&lt;3,"",ROUND(SUM(J43:L43),2))</f>
        <v>15600.00</v>
      </c>
      <c r="N43" s="16" t="n">
        <v>1202.54</v>
      </c>
      <c r="O43" s="16" t="n">
        <v>729.75</v>
      </c>
      <c r="P43" s="16" t="n">
        <v>50</v>
      </c>
      <c r="Q43" s="17">
        <f>IF(OR(M43="",COUNTA(N43:P43)&lt;3),"",ROUND(M43-SUM(N43:P43),2))</f>
        <v>13617.71</v>
      </c>
    </row>
    <row r="44" ht="22" customHeight="1">
      <c r="A44" s="9" t="inlineStr">
        <is>
          <t>E0043</t>
        </is>
      </c>
      <c r="B44" s="9" t="inlineStr">
        <is>
          <t>卫雅妤</t>
        </is>
      </c>
      <c r="C44" s="9" t="inlineStr">
        <is>
          <t>总经办</t>
        </is>
      </c>
      <c r="D44" s="9" t="inlineStr">
        <is>
          <t>总经理助理</t>
        </is>
      </c>
      <c r="E44" s="9" t="inlineStr">
        <is>
          <t>P1-P2</t>
        </is>
      </c>
      <c r="F44" s="9" t="inlineStr">
        <is>
          <t>异动</t>
        </is>
      </c>
      <c r="G44" s="15" t="n">
        <v>45523</v>
      </c>
      <c r="H44" s="11" t="n">
        <v>23</v>
      </c>
      <c r="I44" s="11" t="n">
        <v>20</v>
      </c>
      <c r="J44" s="16" t="n">
        <v>9300</v>
      </c>
      <c r="K44" s="16" t="n">
        <v>300</v>
      </c>
      <c r="L44" s="16" t="n">
        <v>1600</v>
      </c>
      <c r="M44" s="17">
        <f>IF(COUNTA(J44:L44)&lt;3,"",ROUND(SUM(J44:L44),2))</f>
        <v>11200.00</v>
      </c>
      <c r="N44" s="16" t="n">
        <v>870.14</v>
      </c>
      <c r="O44" s="16" t="n">
        <v>322.99</v>
      </c>
      <c r="P44" s="16" t="n">
        <v>600</v>
      </c>
      <c r="Q44" s="17">
        <f>IF(OR(M44="",COUNTA(N44:P44)&lt;3),"",ROUND(M44-SUM(N44:P44),2))</f>
        <v>9406.87</v>
      </c>
    </row>
    <row r="45" ht="22" customHeight="1">
      <c r="A45" s="9" t="inlineStr">
        <is>
          <t>E0044</t>
        </is>
      </c>
      <c r="B45" s="9" t="inlineStr">
        <is>
          <t>蒋子然</t>
        </is>
      </c>
      <c r="C45" s="9" t="inlineStr">
        <is>
          <t>研发部</t>
        </is>
      </c>
      <c r="D45" s="9" t="inlineStr">
        <is>
          <t>测试开发工程师</t>
        </is>
      </c>
      <c r="E45" s="9" t="inlineStr">
        <is>
          <t>P3-P5</t>
        </is>
      </c>
      <c r="F45" s="9" t="inlineStr">
        <is>
          <t>在职</t>
        </is>
      </c>
      <c r="G45" s="15" t="n">
        <v>44459</v>
      </c>
      <c r="H45" s="11" t="n">
        <v>20</v>
      </c>
      <c r="I45" s="11" t="n">
        <v>20</v>
      </c>
      <c r="J45" s="16" t="n">
        <v>13700</v>
      </c>
      <c r="K45" s="16" t="n">
        <v>1000</v>
      </c>
      <c r="L45" s="16" t="n">
        <v>2000</v>
      </c>
      <c r="M45" s="17">
        <f>IF(COUNTA(J45:L45)&lt;3,"",ROUND(SUM(J45:L45),2))</f>
        <v>16700.00</v>
      </c>
      <c r="N45" s="16" t="n">
        <v>1135.52</v>
      </c>
      <c r="O45" s="16" t="n">
        <v>846.45</v>
      </c>
      <c r="P45" s="16" t="n">
        <v>120</v>
      </c>
      <c r="Q45" s="17">
        <f>IF(OR(M45="",COUNTA(N45:P45)&lt;3),"",ROUND(M45-SUM(N45:P45),2))</f>
        <v>14598.03</v>
      </c>
    </row>
    <row r="46" ht="22" customHeight="1">
      <c r="A46" s="9" t="inlineStr">
        <is>
          <t>E0045</t>
        </is>
      </c>
      <c r="B46" s="9" t="inlineStr">
        <is>
          <t>沈浩珺</t>
        </is>
      </c>
      <c r="C46" s="9" t="inlineStr">
        <is>
          <t>数据部</t>
        </is>
      </c>
      <c r="D46" s="9" t="inlineStr">
        <is>
          <t>BI 开发工程师</t>
        </is>
      </c>
      <c r="E46" s="9" t="inlineStr">
        <is>
          <t>P3-P5</t>
        </is>
      </c>
      <c r="F46" s="9" t="inlineStr">
        <is>
          <t>试用</t>
        </is>
      </c>
      <c r="G46" s="15" t="n">
        <v>44855</v>
      </c>
      <c r="H46" s="11" t="n">
        <v>22</v>
      </c>
      <c r="I46" s="11" t="n">
        <v>21</v>
      </c>
      <c r="J46" s="16" t="n">
        <v>17600</v>
      </c>
      <c r="K46" s="16" t="n">
        <v>3500</v>
      </c>
      <c r="L46" s="16" t="n">
        <v>1700</v>
      </c>
      <c r="M46" s="17">
        <f>IF(COUNTA(J46:L46)&lt;3,"",ROUND(SUM(J46:L46),2))</f>
        <v>22800.00</v>
      </c>
      <c r="N46" s="16" t="n">
        <v>1471.46</v>
      </c>
      <c r="O46" s="16" t="n">
        <v>1855.71</v>
      </c>
      <c r="P46" s="16" t="n">
        <v>80</v>
      </c>
      <c r="Q46" s="17">
        <f>IF(OR(M46="",COUNTA(N46:P46)&lt;3),"",ROUND(M46-SUM(N46:P46),2))</f>
        <v>19392.83</v>
      </c>
    </row>
    <row r="47" ht="22" customHeight="1">
      <c r="A47" s="9" t="inlineStr">
        <is>
          <t>E0046</t>
        </is>
      </c>
      <c r="B47" s="9" t="inlineStr">
        <is>
          <t>韩凯彤</t>
        </is>
      </c>
      <c r="C47" s="9" t="inlineStr">
        <is>
          <t>产品部</t>
        </is>
      </c>
      <c r="D47" s="9" t="inlineStr">
        <is>
          <t>产品经理</t>
        </is>
      </c>
      <c r="E47" s="9" t="inlineStr">
        <is>
          <t>P4-P6</t>
        </is>
      </c>
      <c r="F47" s="9" t="inlineStr">
        <is>
          <t>休假</t>
        </is>
      </c>
      <c r="G47" s="15" t="n">
        <v>45252</v>
      </c>
      <c r="H47" s="11" t="n">
        <v>23</v>
      </c>
      <c r="I47" s="11" t="n">
        <v>17</v>
      </c>
      <c r="J47" s="16" t="n">
        <v>23700</v>
      </c>
      <c r="K47" s="16" t="n">
        <v>3700</v>
      </c>
      <c r="L47" s="16" t="n">
        <v>300</v>
      </c>
      <c r="M47" s="17">
        <f>IF(COUNTA(J47:L47)&lt;3,"",ROUND(SUM(J47:L47),2))</f>
        <v>27700.00</v>
      </c>
      <c r="N47" s="16" t="n">
        <v>2154.88</v>
      </c>
      <c r="O47" s="16" t="n">
        <v>2699.02</v>
      </c>
      <c r="P47" s="16" t="n">
        <v>260</v>
      </c>
      <c r="Q47" s="17">
        <f>IF(OR(M47="",COUNTA(N47:P47)&lt;3),"",ROUND(M47-SUM(N47:P47),2))</f>
        <v>22586.10</v>
      </c>
    </row>
    <row r="48" ht="22" customHeight="1">
      <c r="A48" s="9" t="inlineStr">
        <is>
          <t>E0047</t>
        </is>
      </c>
      <c r="B48" s="9" t="inlineStr">
        <is>
          <t>杨涵琳</t>
        </is>
      </c>
      <c r="C48" s="9" t="inlineStr">
        <is>
          <t>市场部</t>
        </is>
      </c>
      <c r="D48" s="9" t="inlineStr">
        <is>
          <t>品牌经理</t>
        </is>
      </c>
      <c r="E48" s="9" t="inlineStr">
        <is>
          <t>P5-P6</t>
        </is>
      </c>
      <c r="F48" s="9" t="inlineStr">
        <is>
          <t>异动</t>
        </is>
      </c>
      <c r="G48" s="15" t="n">
        <v>45649</v>
      </c>
      <c r="H48" s="11" t="n">
        <v>23</v>
      </c>
      <c r="I48" s="11" t="n">
        <v>20</v>
      </c>
      <c r="J48" s="16" t="n">
        <v>28000</v>
      </c>
      <c r="K48" s="16" t="n">
        <v>7600</v>
      </c>
      <c r="L48" s="16" t="n">
        <v>4500</v>
      </c>
      <c r="M48" s="17">
        <f>IF(COUNTA(J48:L48)&lt;3,"",ROUND(SUM(J48:L48),2))</f>
        <v>40100.00</v>
      </c>
      <c r="N48" s="16" t="n">
        <v>2605.37</v>
      </c>
      <c r="O48" s="16" t="n">
        <v>5463.66</v>
      </c>
      <c r="P48" s="16" t="n">
        <v>0</v>
      </c>
      <c r="Q48" s="17">
        <f>IF(OR(M48="",COUNTA(N48:P48)&lt;3),"",ROUND(M48-SUM(N48:P48),2))</f>
        <v>32030.97</v>
      </c>
    </row>
    <row r="49" ht="22" customHeight="1">
      <c r="A49" s="9" t="inlineStr">
        <is>
          <t>E0048</t>
        </is>
      </c>
      <c r="B49" s="9" t="inlineStr">
        <is>
          <t>朱晨宁</t>
        </is>
      </c>
      <c r="C49" s="9" t="inlineStr">
        <is>
          <t>销售部</t>
        </is>
      </c>
      <c r="D49" s="9" t="inlineStr">
        <is>
          <t>渠道经理</t>
        </is>
      </c>
      <c r="E49" s="9" t="inlineStr">
        <is>
          <t>P4-P6</t>
        </is>
      </c>
      <c r="F49" s="9" t="inlineStr">
        <is>
          <t>在职</t>
        </is>
      </c>
      <c r="G49" s="15" t="n">
        <v>44220</v>
      </c>
      <c r="H49" s="11" t="n">
        <v>22</v>
      </c>
      <c r="I49" s="11" t="n">
        <v>22</v>
      </c>
      <c r="J49" s="16" t="n">
        <v>28000</v>
      </c>
      <c r="K49" s="16" t="n">
        <v>5600</v>
      </c>
      <c r="L49" s="16" t="n">
        <v>8600</v>
      </c>
      <c r="M49" s="17">
        <f>IF(COUNTA(J49:L49)&lt;3,"",ROUND(SUM(J49:L49),2))</f>
        <v>42200.00</v>
      </c>
      <c r="N49" s="16" t="n">
        <v>2213.03</v>
      </c>
      <c r="O49" s="16" t="n">
        <v>6086.74</v>
      </c>
      <c r="P49" s="16" t="n">
        <v>50</v>
      </c>
      <c r="Q49" s="17">
        <f>IF(OR(M49="",COUNTA(N49:P49)&lt;3),"",ROUND(M49-SUM(N49:P49),2))</f>
        <v>33850.23</v>
      </c>
    </row>
    <row r="50" ht="22" customHeight="1">
      <c r="A50" s="9" t="inlineStr">
        <is>
          <t>E0049</t>
        </is>
      </c>
      <c r="B50" s="9" t="inlineStr">
        <is>
          <t>秦思怡</t>
        </is>
      </c>
      <c r="C50" s="9" t="inlineStr">
        <is>
          <t>客服部</t>
        </is>
      </c>
      <c r="D50" s="9" t="inlineStr">
        <is>
          <t>客户成功经理</t>
        </is>
      </c>
      <c r="E50" s="9" t="inlineStr">
        <is>
          <t>P6-P7</t>
        </is>
      </c>
      <c r="F50" s="9" t="inlineStr">
        <is>
          <t>试用</t>
        </is>
      </c>
      <c r="G50" s="15" t="n">
        <v>44617</v>
      </c>
      <c r="H50" s="11" t="n">
        <v>20</v>
      </c>
      <c r="I50" s="11" t="n">
        <v>19</v>
      </c>
      <c r="J50" s="16" t="n">
        <v>46200</v>
      </c>
      <c r="K50" s="16" t="n">
        <v>7600</v>
      </c>
      <c r="L50" s="16" t="n">
        <v>2500</v>
      </c>
      <c r="M50" s="17">
        <f>IF(COUNTA(J50:L50)&lt;3,"",ROUND(SUM(J50:L50),2))</f>
        <v>56300.00</v>
      </c>
      <c r="N50" s="16" t="n">
        <v>3504.66</v>
      </c>
      <c r="O50" s="16" t="n">
        <v>9928.6</v>
      </c>
      <c r="P50" s="16" t="n">
        <v>180</v>
      </c>
      <c r="Q50" s="17">
        <f>IF(OR(M50="",COUNTA(N50:P50)&lt;3),"",ROUND(M50-SUM(N50:P50),2))</f>
        <v>42686.74</v>
      </c>
    </row>
    <row r="51" ht="22" customHeight="1">
      <c r="A51" s="9" t="inlineStr">
        <is>
          <t>E0050</t>
        </is>
      </c>
      <c r="B51" s="9" t="inlineStr">
        <is>
          <t>尤若昕</t>
        </is>
      </c>
      <c r="C51" s="9" t="inlineStr">
        <is>
          <t>财务部</t>
        </is>
      </c>
      <c r="D51" s="9" t="inlineStr">
        <is>
          <t>应付会计</t>
        </is>
      </c>
      <c r="E51" s="9" t="inlineStr">
        <is>
          <t>P4-P6</t>
        </is>
      </c>
      <c r="F51" s="9" t="inlineStr">
        <is>
          <t>休假</t>
        </is>
      </c>
      <c r="G51" s="15" t="n">
        <v>44986</v>
      </c>
      <c r="H51" s="11" t="n">
        <v>22</v>
      </c>
      <c r="I51" s="11" t="n">
        <v>20</v>
      </c>
      <c r="J51" s="16" t="n">
        <v>24900</v>
      </c>
      <c r="K51" s="16" t="n">
        <v>4500</v>
      </c>
      <c r="L51" s="16" t="n">
        <v>1700</v>
      </c>
      <c r="M51" s="17">
        <f>IF(COUNTA(J51:L51)&lt;3,"",ROUND(SUM(J51:L51),2))</f>
        <v>31100.00</v>
      </c>
      <c r="N51" s="16" t="n">
        <v>2124.65</v>
      </c>
      <c r="O51" s="16" t="n">
        <v>3385.07</v>
      </c>
      <c r="P51" s="16" t="n">
        <v>80</v>
      </c>
      <c r="Q51" s="17">
        <f>IF(OR(M51="",COUNTA(N51:P51)&lt;3),"",ROUND(M51-SUM(N51:P51),2))</f>
        <v>25510.28</v>
      </c>
    </row>
    <row r="52" ht="22" customHeight="1">
      <c r="A52" s="9" t="inlineStr">
        <is>
          <t>E0051</t>
        </is>
      </c>
      <c r="B52" s="9" t="inlineStr">
        <is>
          <t>许雅婷</t>
        </is>
      </c>
      <c r="C52" s="9" t="inlineStr">
        <is>
          <t>人力资源部</t>
        </is>
      </c>
      <c r="D52" s="9" t="inlineStr">
        <is>
          <t>组织发展专员</t>
        </is>
      </c>
      <c r="E52" s="9" t="inlineStr">
        <is>
          <t>P5-P7</t>
        </is>
      </c>
      <c r="F52" s="9" t="inlineStr">
        <is>
          <t>异动</t>
        </is>
      </c>
      <c r="G52" s="15" t="n">
        <v>45384</v>
      </c>
      <c r="H52" s="11" t="n">
        <v>21</v>
      </c>
      <c r="I52" s="11" t="n">
        <v>19</v>
      </c>
      <c r="J52" s="16" t="n">
        <v>28100</v>
      </c>
      <c r="K52" s="16" t="n">
        <v>6400</v>
      </c>
      <c r="L52" s="16" t="n">
        <v>4100</v>
      </c>
      <c r="M52" s="17">
        <f>IF(COUNTA(J52:L52)&lt;3,"",ROUND(SUM(J52:L52),2))</f>
        <v>38600.00</v>
      </c>
      <c r="N52" s="16" t="n">
        <v>2473.23</v>
      </c>
      <c r="O52" s="16" t="n">
        <v>5121.69</v>
      </c>
      <c r="P52" s="16" t="n">
        <v>80</v>
      </c>
      <c r="Q52" s="17">
        <f>IF(OR(M52="",COUNTA(N52:P52)&lt;3),"",ROUND(M52-SUM(N52:P52),2))</f>
        <v>30925.08</v>
      </c>
    </row>
    <row r="53" ht="22" customHeight="1">
      <c r="A53" s="9" t="inlineStr">
        <is>
          <t>E0052</t>
        </is>
      </c>
      <c r="B53" s="9" t="inlineStr">
        <is>
          <t>何子轩</t>
        </is>
      </c>
      <c r="C53" s="9" t="inlineStr">
        <is>
          <t>行政部</t>
        </is>
      </c>
      <c r="D53" s="9" t="inlineStr">
        <is>
          <t>行政专员</t>
        </is>
      </c>
      <c r="E53" s="9" t="inlineStr">
        <is>
          <t>P6-P7</t>
        </is>
      </c>
      <c r="F53" s="9" t="inlineStr">
        <is>
          <t>在职</t>
        </is>
      </c>
      <c r="G53" s="15" t="n">
        <v>44319</v>
      </c>
      <c r="H53" s="11" t="n">
        <v>21</v>
      </c>
      <c r="I53" s="11" t="n">
        <v>20</v>
      </c>
      <c r="J53" s="16" t="n">
        <v>45700</v>
      </c>
      <c r="K53" s="16" t="n">
        <v>4400</v>
      </c>
      <c r="L53" s="16" t="n">
        <v>13500</v>
      </c>
      <c r="M53" s="17">
        <f>IF(COUNTA(J53:L53)&lt;3,"",ROUND(SUM(J53:L53),2))</f>
        <v>63600.00</v>
      </c>
      <c r="N53" s="16" t="n">
        <v>3800</v>
      </c>
      <c r="O53" s="16" t="n">
        <v>12030</v>
      </c>
      <c r="P53" s="16" t="n">
        <v>80</v>
      </c>
      <c r="Q53" s="17">
        <f>IF(OR(M53="",COUNTA(N53:P53)&lt;3),"",ROUND(M53-SUM(N53:P53),2))</f>
        <v>47690.00</v>
      </c>
    </row>
    <row r="54" ht="22" customHeight="1">
      <c r="A54" s="9" t="inlineStr">
        <is>
          <t>E0053</t>
        </is>
      </c>
      <c r="B54" s="9" t="inlineStr">
        <is>
          <t>吕浩琪</t>
        </is>
      </c>
      <c r="C54" s="9" t="inlineStr">
        <is>
          <t>采购部</t>
        </is>
      </c>
      <c r="D54" s="9" t="inlineStr">
        <is>
          <t>供应商管理专员</t>
        </is>
      </c>
      <c r="E54" s="9" t="inlineStr">
        <is>
          <t>P4-P6</t>
        </is>
      </c>
      <c r="F54" s="9" t="inlineStr">
        <is>
          <t>试用</t>
        </is>
      </c>
      <c r="G54" s="15" t="n">
        <v>44716</v>
      </c>
      <c r="H54" s="11" t="n">
        <v>21</v>
      </c>
      <c r="I54" s="11" t="n">
        <v>20</v>
      </c>
      <c r="J54" s="16" t="n">
        <v>26400</v>
      </c>
      <c r="K54" s="16" t="n">
        <v>1900</v>
      </c>
      <c r="L54" s="16" t="n">
        <v>100</v>
      </c>
      <c r="M54" s="17">
        <f>IF(COUNTA(J54:L54)&lt;3,"",ROUND(SUM(J54:L54),2))</f>
        <v>28400.00</v>
      </c>
      <c r="N54" s="16" t="n">
        <v>2101.36</v>
      </c>
      <c r="O54" s="16" t="n">
        <v>2849.73</v>
      </c>
      <c r="P54" s="16" t="n">
        <v>120</v>
      </c>
      <c r="Q54" s="17">
        <f>IF(OR(M54="",COUNTA(N54:P54)&lt;3),"",ROUND(M54-SUM(N54:P54),2))</f>
        <v>23328.91</v>
      </c>
    </row>
    <row r="55" ht="22" customHeight="1">
      <c r="A55" s="9" t="inlineStr">
        <is>
          <t>E0054</t>
        </is>
      </c>
      <c r="B55" s="9" t="inlineStr">
        <is>
          <t>施凯彬</t>
        </is>
      </c>
      <c r="C55" s="9" t="inlineStr">
        <is>
          <t>法务部</t>
        </is>
      </c>
      <c r="D55" s="9" t="inlineStr">
        <is>
          <t>合规专员</t>
        </is>
      </c>
      <c r="E55" s="9" t="inlineStr">
        <is>
          <t>P4-P6</t>
        </is>
      </c>
      <c r="F55" s="9" t="inlineStr">
        <is>
          <t>休假</t>
        </is>
      </c>
      <c r="G55" s="15" t="n">
        <v>45112</v>
      </c>
      <c r="H55" s="11" t="n">
        <v>22</v>
      </c>
      <c r="I55" s="11" t="n">
        <v>19</v>
      </c>
      <c r="J55" s="16" t="n">
        <v>23200</v>
      </c>
      <c r="K55" s="16" t="n">
        <v>1800</v>
      </c>
      <c r="L55" s="16" t="n">
        <v>700</v>
      </c>
      <c r="M55" s="17">
        <f>IF(COUNTA(J55:L55)&lt;3,"",ROUND(SUM(J55:L55),2))</f>
        <v>25700.00</v>
      </c>
      <c r="N55" s="16" t="n">
        <v>1914.24</v>
      </c>
      <c r="O55" s="16" t="n">
        <v>2347.15</v>
      </c>
      <c r="P55" s="16" t="n">
        <v>260</v>
      </c>
      <c r="Q55" s="17">
        <f>IF(OR(M55="",COUNTA(N55:P55)&lt;3),"",ROUND(M55-SUM(N55:P55),2))</f>
        <v>21178.61</v>
      </c>
    </row>
    <row r="56" ht="22" customHeight="1">
      <c r="A56" s="9" t="inlineStr">
        <is>
          <t>E0055</t>
        </is>
      </c>
      <c r="B56" s="9" t="inlineStr">
        <is>
          <t>张涵妍</t>
        </is>
      </c>
      <c r="C56" s="9" t="inlineStr">
        <is>
          <t>运维部</t>
        </is>
      </c>
      <c r="D56" s="9" t="inlineStr">
        <is>
          <t>系统运维工程师</t>
        </is>
      </c>
      <c r="E56" s="9" t="inlineStr">
        <is>
          <t>P3-P5</t>
        </is>
      </c>
      <c r="F56" s="9" t="inlineStr">
        <is>
          <t>异动</t>
        </is>
      </c>
      <c r="G56" s="15" t="n">
        <v>45510</v>
      </c>
      <c r="H56" s="11" t="n">
        <v>20</v>
      </c>
      <c r="I56" s="11" t="n">
        <v>19</v>
      </c>
      <c r="J56" s="16" t="n">
        <v>22200</v>
      </c>
      <c r="K56" s="16" t="n">
        <v>3300</v>
      </c>
      <c r="L56" s="16" t="n">
        <v>2700</v>
      </c>
      <c r="M56" s="17">
        <f>IF(COUNTA(J56:L56)&lt;3,"",ROUND(SUM(J56:L56),2))</f>
        <v>28200.00</v>
      </c>
      <c r="N56" s="16" t="n">
        <v>1700.36</v>
      </c>
      <c r="O56" s="16" t="n">
        <v>2889.93</v>
      </c>
      <c r="P56" s="16" t="n">
        <v>80</v>
      </c>
      <c r="Q56" s="17">
        <f>IF(OR(M56="",COUNTA(N56:P56)&lt;3),"",ROUND(M56-SUM(N56:P56),2))</f>
        <v>23529.71</v>
      </c>
    </row>
    <row r="57" ht="22" customHeight="1">
      <c r="A57" s="9" t="inlineStr">
        <is>
          <t>E0056</t>
        </is>
      </c>
      <c r="B57" s="9" t="inlineStr">
        <is>
          <t>孔晨博</t>
        </is>
      </c>
      <c r="C57" s="9" t="inlineStr">
        <is>
          <t>信息安全部</t>
        </is>
      </c>
      <c r="D57" s="9" t="inlineStr">
        <is>
          <t>安全运营专员</t>
        </is>
      </c>
      <c r="E57" s="9" t="inlineStr">
        <is>
          <t>P3-P5</t>
        </is>
      </c>
      <c r="F57" s="9" t="inlineStr">
        <is>
          <t>在职</t>
        </is>
      </c>
      <c r="G57" s="15" t="n">
        <v>44446</v>
      </c>
      <c r="H57" s="11" t="n">
        <v>22</v>
      </c>
      <c r="I57" s="11" t="n">
        <v>22</v>
      </c>
      <c r="J57" s="16" t="n">
        <v>13200</v>
      </c>
      <c r="K57" s="16" t="n">
        <v>1300</v>
      </c>
      <c r="L57" s="16" t="n">
        <v>2200</v>
      </c>
      <c r="M57" s="17">
        <f>IF(COUNTA(J57:L57)&lt;3,"",ROUND(SUM(J57:L57),2))</f>
        <v>16700.00</v>
      </c>
      <c r="N57" s="16" t="n">
        <v>1214.54</v>
      </c>
      <c r="O57" s="16" t="n">
        <v>838.55</v>
      </c>
      <c r="P57" s="16" t="n">
        <v>120</v>
      </c>
      <c r="Q57" s="17">
        <f>IF(OR(M57="",COUNTA(N57:P57)&lt;3),"",ROUND(M57-SUM(N57:P57),2))</f>
        <v>14526.91</v>
      </c>
    </row>
    <row r="58" ht="22" customHeight="1">
      <c r="A58" s="9" t="inlineStr">
        <is>
          <t>E0057</t>
        </is>
      </c>
      <c r="B58" s="9" t="inlineStr">
        <is>
          <t>曹思瑜</t>
        </is>
      </c>
      <c r="C58" s="9" t="inlineStr">
        <is>
          <t>总经办</t>
        </is>
      </c>
      <c r="D58" s="9" t="inlineStr">
        <is>
          <t>行政秘书</t>
        </is>
      </c>
      <c r="E58" s="9" t="inlineStr">
        <is>
          <t>P1-P2</t>
        </is>
      </c>
      <c r="F58" s="9" t="inlineStr">
        <is>
          <t>试用</t>
        </is>
      </c>
      <c r="G58" s="15" t="n">
        <v>44842</v>
      </c>
      <c r="H58" s="11" t="n">
        <v>23</v>
      </c>
      <c r="I58" s="11" t="n">
        <v>23</v>
      </c>
      <c r="J58" s="16" t="n">
        <v>11200</v>
      </c>
      <c r="K58" s="16" t="n">
        <v>1300</v>
      </c>
      <c r="L58" s="16" t="n">
        <v>1100</v>
      </c>
      <c r="M58" s="17">
        <f>IF(COUNTA(J58:L58)&lt;3,"",ROUND(SUM(J58:L58),2))</f>
        <v>13600.00</v>
      </c>
      <c r="N58" s="16" t="n">
        <v>861.97</v>
      </c>
      <c r="O58" s="16" t="n">
        <v>563.8</v>
      </c>
      <c r="P58" s="16" t="n">
        <v>50</v>
      </c>
      <c r="Q58" s="17">
        <f>IF(OR(M58="",COUNTA(N58:P58)&lt;3),"",ROUND(M58-SUM(N58:P58),2))</f>
        <v>12124.23</v>
      </c>
    </row>
    <row r="59" ht="22" customHeight="1">
      <c r="A59" s="9" t="inlineStr">
        <is>
          <t>E0058</t>
        </is>
      </c>
      <c r="B59" s="9" t="inlineStr">
        <is>
          <t>严若杰</t>
        </is>
      </c>
      <c r="C59" s="9" t="inlineStr">
        <is>
          <t>研发部</t>
        </is>
      </c>
      <c r="D59" s="9" t="inlineStr">
        <is>
          <t>前端开发工程师</t>
        </is>
      </c>
      <c r="E59" s="9" t="inlineStr">
        <is>
          <t>P3-P5</t>
        </is>
      </c>
      <c r="F59" s="9" t="inlineStr">
        <is>
          <t>休假</t>
        </is>
      </c>
      <c r="G59" s="15" t="n">
        <v>45239</v>
      </c>
      <c r="H59" s="11" t="n">
        <v>22</v>
      </c>
      <c r="I59" s="11" t="n">
        <v>14</v>
      </c>
      <c r="J59" s="16" t="n">
        <v>13600</v>
      </c>
      <c r="K59" s="16" t="n">
        <v>2400</v>
      </c>
      <c r="L59" s="16" t="n">
        <v>200</v>
      </c>
      <c r="M59" s="17">
        <f>IF(COUNTA(J59:L59)&lt;3,"",ROUND(SUM(J59:L59),2))</f>
        <v>16200.00</v>
      </c>
      <c r="N59" s="16" t="n">
        <v>1109.06</v>
      </c>
      <c r="O59" s="16" t="n">
        <v>799.09</v>
      </c>
      <c r="P59" s="16" t="n">
        <v>900</v>
      </c>
      <c r="Q59" s="17">
        <f>IF(OR(M59="",COUNTA(N59:P59)&lt;3),"",ROUND(M59-SUM(N59:P59),2))</f>
        <v>13391.85</v>
      </c>
    </row>
    <row r="60" ht="22" customHeight="1">
      <c r="A60" s="9" t="inlineStr">
        <is>
          <t>E0059</t>
        </is>
      </c>
      <c r="B60" s="9" t="inlineStr">
        <is>
          <t>华雅瑶</t>
        </is>
      </c>
      <c r="C60" s="9" t="inlineStr">
        <is>
          <t>数据部</t>
        </is>
      </c>
      <c r="D60" s="9" t="inlineStr">
        <is>
          <t>数据分析师</t>
        </is>
      </c>
      <c r="E60" s="9" t="inlineStr">
        <is>
          <t>P3-P5</t>
        </is>
      </c>
      <c r="F60" s="9" t="inlineStr">
        <is>
          <t>异动</t>
        </is>
      </c>
      <c r="G60" s="15" t="n">
        <v>45636</v>
      </c>
      <c r="H60" s="11" t="n">
        <v>21</v>
      </c>
      <c r="I60" s="11" t="n">
        <v>18</v>
      </c>
      <c r="J60" s="16" t="n">
        <v>23000</v>
      </c>
      <c r="K60" s="16" t="n">
        <v>3200</v>
      </c>
      <c r="L60" s="16" t="n">
        <v>900</v>
      </c>
      <c r="M60" s="17">
        <f>IF(COUNTA(J60:L60)&lt;3,"",ROUND(SUM(J60:L60),2))</f>
        <v>27100.00</v>
      </c>
      <c r="N60" s="16" t="n">
        <v>2143.46</v>
      </c>
      <c r="O60" s="16" t="n">
        <v>2581.31</v>
      </c>
      <c r="P60" s="16" t="n">
        <v>260</v>
      </c>
      <c r="Q60" s="17">
        <f>IF(OR(M60="",COUNTA(N60:P60)&lt;3),"",ROUND(M60-SUM(N60:P60),2))</f>
        <v>22115.23</v>
      </c>
    </row>
    <row r="61" ht="22" customHeight="1">
      <c r="A61" s="9" t="inlineStr">
        <is>
          <t>E0060</t>
        </is>
      </c>
      <c r="B61" s="9" t="inlineStr">
        <is>
          <t>金子航</t>
        </is>
      </c>
      <c r="C61" s="9" t="inlineStr">
        <is>
          <t>产品部</t>
        </is>
      </c>
      <c r="D61" s="9" t="inlineStr">
        <is>
          <t>交互设计师</t>
        </is>
      </c>
      <c r="E61" s="9" t="inlineStr">
        <is>
          <t>P4-P6</t>
        </is>
      </c>
      <c r="F61" s="9" t="inlineStr">
        <is>
          <t>在职</t>
        </is>
      </c>
      <c r="G61" s="15" t="n">
        <v>44207</v>
      </c>
      <c r="H61" s="11" t="n">
        <v>20</v>
      </c>
      <c r="I61" s="11" t="n">
        <v>20</v>
      </c>
      <c r="J61" s="16" t="n">
        <v>21000</v>
      </c>
      <c r="K61" s="16" t="n">
        <v>3700</v>
      </c>
      <c r="L61" s="16" t="n">
        <v>6000</v>
      </c>
      <c r="M61" s="17">
        <f>IF(COUNTA(J61:L61)&lt;3,"",ROUND(SUM(J61:L61),2))</f>
        <v>30700.00</v>
      </c>
      <c r="N61" s="16" t="n">
        <v>1921.21</v>
      </c>
      <c r="O61" s="16" t="n">
        <v>3345.76</v>
      </c>
      <c r="P61" s="16" t="n">
        <v>0</v>
      </c>
      <c r="Q61" s="17">
        <f>IF(OR(M61="",COUNTA(N61:P61)&lt;3),"",ROUND(M61-SUM(N61:P61),2))</f>
        <v>25433.03</v>
      </c>
    </row>
    <row r="62" ht="22" customHeight="1">
      <c r="A62" s="9" t="inlineStr">
        <is>
          <t>E0061</t>
        </is>
      </c>
      <c r="B62" s="9" t="inlineStr">
        <is>
          <t>魏浩哲</t>
        </is>
      </c>
      <c r="C62" s="9" t="inlineStr">
        <is>
          <t>市场部</t>
        </is>
      </c>
      <c r="D62" s="9" t="inlineStr">
        <is>
          <t>市场专员</t>
        </is>
      </c>
      <c r="E62" s="9" t="inlineStr">
        <is>
          <t>P5-P6</t>
        </is>
      </c>
      <c r="F62" s="9" t="inlineStr">
        <is>
          <t>试用</t>
        </is>
      </c>
      <c r="G62" s="15" t="n">
        <v>44604</v>
      </c>
      <c r="H62" s="11" t="n">
        <v>22</v>
      </c>
      <c r="I62" s="11" t="n">
        <v>20</v>
      </c>
      <c r="J62" s="16" t="n">
        <v>35000</v>
      </c>
      <c r="K62" s="16" t="n">
        <v>1600</v>
      </c>
      <c r="L62" s="16" t="n">
        <v>2400</v>
      </c>
      <c r="M62" s="17">
        <f>IF(COUNTA(J62:L62)&lt;3,"",ROUND(SUM(J62:L62),2))</f>
        <v>39000.00</v>
      </c>
      <c r="N62" s="16" t="n">
        <v>2745.94</v>
      </c>
      <c r="O62" s="16" t="n">
        <v>5153.51</v>
      </c>
      <c r="P62" s="16" t="n">
        <v>0</v>
      </c>
      <c r="Q62" s="17">
        <f>IF(OR(M62="",COUNTA(N62:P62)&lt;3),"",ROUND(M62-SUM(N62:P62),2))</f>
        <v>31100.55</v>
      </c>
    </row>
    <row r="63" ht="22" customHeight="1">
      <c r="A63" s="9" t="inlineStr">
        <is>
          <t>E0062</t>
        </is>
      </c>
      <c r="B63" s="9" t="inlineStr">
        <is>
          <t>陶凯霖</t>
        </is>
      </c>
      <c r="C63" s="9" t="inlineStr">
        <is>
          <t>销售部</t>
        </is>
      </c>
      <c r="D63" s="9" t="inlineStr">
        <is>
          <t>销售代表</t>
        </is>
      </c>
      <c r="E63" s="9" t="inlineStr">
        <is>
          <t>P4-P6</t>
        </is>
      </c>
      <c r="F63" s="9" t="inlineStr">
        <is>
          <t>休假</t>
        </is>
      </c>
      <c r="G63" s="15" t="n">
        <v>44998</v>
      </c>
      <c r="H63" s="11" t="n">
        <v>21</v>
      </c>
      <c r="I63" s="11" t="n">
        <v>16</v>
      </c>
      <c r="J63" s="16" t="n">
        <v>26800</v>
      </c>
      <c r="K63" s="16" t="n">
        <v>5400</v>
      </c>
      <c r="L63" s="16" t="n">
        <v>1100</v>
      </c>
      <c r="M63" s="17">
        <f>IF(COUNTA(J63:L63)&lt;3,"",ROUND(SUM(J63:L63),2))</f>
        <v>33300.00</v>
      </c>
      <c r="N63" s="16" t="n">
        <v>2214.31</v>
      </c>
      <c r="O63" s="16" t="n">
        <v>3861.42</v>
      </c>
      <c r="P63" s="16" t="n">
        <v>600</v>
      </c>
      <c r="Q63" s="17">
        <f>IF(OR(M63="",COUNTA(N63:P63)&lt;3),"",ROUND(M63-SUM(N63:P63),2))</f>
        <v>26624.27</v>
      </c>
    </row>
    <row r="64" ht="22" customHeight="1">
      <c r="A64" s="9" t="inlineStr">
        <is>
          <t>E0063</t>
        </is>
      </c>
      <c r="B64" s="9" t="inlineStr">
        <is>
          <t>姜涵涵</t>
        </is>
      </c>
      <c r="C64" s="9" t="inlineStr">
        <is>
          <t>客服部</t>
        </is>
      </c>
      <c r="D64" s="9" t="inlineStr">
        <is>
          <t>工单协调员</t>
        </is>
      </c>
      <c r="E64" s="9" t="inlineStr">
        <is>
          <t>P6-P7</t>
        </is>
      </c>
      <c r="F64" s="9" t="inlineStr">
        <is>
          <t>异动</t>
        </is>
      </c>
      <c r="G64" s="15" t="n">
        <v>45396</v>
      </c>
      <c r="H64" s="11" t="n">
        <v>23</v>
      </c>
      <c r="I64" s="11" t="n">
        <v>22</v>
      </c>
      <c r="J64" s="16" t="n">
        <v>46400</v>
      </c>
      <c r="K64" s="16" t="n">
        <v>7600</v>
      </c>
      <c r="L64" s="16" t="n">
        <v>1800</v>
      </c>
      <c r="M64" s="17">
        <f>IF(COUNTA(J64:L64)&lt;3,"",ROUND(SUM(J64:L64),2))</f>
        <v>55800.00</v>
      </c>
      <c r="N64" s="16" t="n">
        <v>3779.43</v>
      </c>
      <c r="O64" s="16" t="n">
        <v>9696.17</v>
      </c>
      <c r="P64" s="16" t="n">
        <v>80</v>
      </c>
      <c r="Q64" s="17">
        <f>IF(OR(M64="",COUNTA(N64:P64)&lt;3),"",ROUND(M64-SUM(N64:P64),2))</f>
        <v>42244.40</v>
      </c>
    </row>
    <row r="65" ht="22" customHeight="1">
      <c r="A65" s="9" t="inlineStr">
        <is>
          <t>E0064</t>
        </is>
      </c>
      <c r="B65" s="9" t="inlineStr">
        <is>
          <t>赵晨妤</t>
        </is>
      </c>
      <c r="C65" s="9" t="inlineStr">
        <is>
          <t>财务部</t>
        </is>
      </c>
      <c r="D65" s="9" t="inlineStr">
        <is>
          <t>费用审核专员</t>
        </is>
      </c>
      <c r="E65" s="9" t="inlineStr">
        <is>
          <t>P4-P6</t>
        </is>
      </c>
      <c r="F65" s="9" t="inlineStr">
        <is>
          <t>在职</t>
        </is>
      </c>
      <c r="G65" s="15" t="n">
        <v>44331</v>
      </c>
      <c r="H65" s="11" t="n">
        <v>23</v>
      </c>
      <c r="I65" s="11" t="n">
        <v>23</v>
      </c>
      <c r="J65" s="16" t="n">
        <v>30400</v>
      </c>
      <c r="K65" s="16" t="n">
        <v>3100</v>
      </c>
      <c r="L65" s="16" t="n">
        <v>9300</v>
      </c>
      <c r="M65" s="17">
        <f>IF(COUNTA(J65:L65)&lt;3,"",ROUND(SUM(J65:L65),2))</f>
        <v>42800.00</v>
      </c>
      <c r="N65" s="16" t="n">
        <v>2805.88</v>
      </c>
      <c r="O65" s="16" t="n">
        <v>6088.53</v>
      </c>
      <c r="P65" s="16" t="n">
        <v>400</v>
      </c>
      <c r="Q65" s="17">
        <f>IF(OR(M65="",COUNTA(N65:P65)&lt;3),"",ROUND(M65-SUM(N65:P65),2))</f>
        <v>33505.59</v>
      </c>
    </row>
    <row r="66" ht="22" customHeight="1">
      <c r="A66" s="9" t="inlineStr">
        <is>
          <t>E0065</t>
        </is>
      </c>
      <c r="B66" s="9" t="inlineStr">
        <is>
          <t>钱思然</t>
        </is>
      </c>
      <c r="C66" s="9" t="inlineStr">
        <is>
          <t>人力资源部</t>
        </is>
      </c>
      <c r="D66" s="9" t="inlineStr">
        <is>
          <t>HRBP</t>
        </is>
      </c>
      <c r="E66" s="9" t="inlineStr">
        <is>
          <t>P5-P7</t>
        </is>
      </c>
      <c r="F66" s="9" t="inlineStr">
        <is>
          <t>试用</t>
        </is>
      </c>
      <c r="G66" s="15" t="n">
        <v>44728</v>
      </c>
      <c r="H66" s="11" t="n">
        <v>22</v>
      </c>
      <c r="I66" s="11" t="n">
        <v>21</v>
      </c>
      <c r="J66" s="16" t="n">
        <v>32700</v>
      </c>
      <c r="K66" s="16" t="n">
        <v>8000</v>
      </c>
      <c r="L66" s="16" t="n">
        <v>2800</v>
      </c>
      <c r="M66" s="17">
        <f>IF(COUNTA(J66:L66)&lt;3,"",ROUND(SUM(J66:L66),2))</f>
        <v>43500.00</v>
      </c>
      <c r="N66" s="16" t="n">
        <v>2819.47</v>
      </c>
      <c r="O66" s="16" t="n">
        <v>6294.16</v>
      </c>
      <c r="P66" s="16" t="n">
        <v>600</v>
      </c>
      <c r="Q66" s="17">
        <f>IF(OR(M66="",COUNTA(N66:P66)&lt;3),"",ROUND(M66-SUM(N66:P66),2))</f>
        <v>33786.37</v>
      </c>
    </row>
    <row r="67" ht="22" customHeight="1">
      <c r="A67" s="9" t="inlineStr">
        <is>
          <t>E0066</t>
        </is>
      </c>
      <c r="B67" s="9" t="inlineStr">
        <is>
          <t>孙若珺</t>
        </is>
      </c>
      <c r="C67" s="9" t="inlineStr">
        <is>
          <t>行政部</t>
        </is>
      </c>
      <c r="D67" s="9" t="inlineStr">
        <is>
          <t>资产管理员</t>
        </is>
      </c>
      <c r="E67" s="9" t="inlineStr">
        <is>
          <t>P6-P7</t>
        </is>
      </c>
      <c r="F67" s="9" t="inlineStr">
        <is>
          <t>休假</t>
        </is>
      </c>
      <c r="G67" s="15" t="n">
        <v>45124</v>
      </c>
      <c r="H67" s="11" t="n">
        <v>20</v>
      </c>
      <c r="I67" s="11" t="n">
        <v>14</v>
      </c>
      <c r="J67" s="16" t="n">
        <v>47500</v>
      </c>
      <c r="K67" s="16" t="n">
        <v>3400</v>
      </c>
      <c r="L67" s="16" t="n">
        <v>100</v>
      </c>
      <c r="M67" s="17">
        <f>IF(COUNTA(J67:L67)&lt;3,"",ROUND(SUM(J67:L67),2))</f>
        <v>51000.00</v>
      </c>
      <c r="N67" s="16" t="n">
        <v>3647.07</v>
      </c>
      <c r="O67" s="16" t="n">
        <v>8295.879999999999</v>
      </c>
      <c r="P67" s="16" t="n">
        <v>180</v>
      </c>
      <c r="Q67" s="17">
        <f>IF(OR(M67="",COUNTA(N67:P67)&lt;3),"",ROUND(M67-SUM(N67:P67),2))</f>
        <v>38877.05</v>
      </c>
    </row>
    <row r="68" ht="22" customHeight="1">
      <c r="A68" s="9" t="inlineStr">
        <is>
          <t>E0067</t>
        </is>
      </c>
      <c r="B68" s="9" t="inlineStr">
        <is>
          <t>李雅彤</t>
        </is>
      </c>
      <c r="C68" s="9" t="inlineStr">
        <is>
          <t>采购部</t>
        </is>
      </c>
      <c r="D68" s="9" t="inlineStr">
        <is>
          <t>采购专员</t>
        </is>
      </c>
      <c r="E68" s="9" t="inlineStr">
        <is>
          <t>P4-P6</t>
        </is>
      </c>
      <c r="F68" s="9" t="inlineStr">
        <is>
          <t>异动</t>
        </is>
      </c>
      <c r="G68" s="15" t="n">
        <v>45522</v>
      </c>
      <c r="H68" s="11" t="n">
        <v>21</v>
      </c>
      <c r="I68" s="11" t="n">
        <v>21</v>
      </c>
      <c r="J68" s="16" t="n">
        <v>19000</v>
      </c>
      <c r="K68" s="16" t="n">
        <v>2900</v>
      </c>
      <c r="L68" s="16" t="n">
        <v>1400</v>
      </c>
      <c r="M68" s="17">
        <f>IF(COUNTA(J68:L68)&lt;3,"",ROUND(SUM(J68:L68),2))</f>
        <v>23300.00</v>
      </c>
      <c r="N68" s="16" t="n">
        <v>1701.69</v>
      </c>
      <c r="O68" s="16" t="n">
        <v>1909.66</v>
      </c>
      <c r="P68" s="16" t="n">
        <v>600</v>
      </c>
      <c r="Q68" s="17">
        <f>IF(OR(M68="",COUNTA(N68:P68)&lt;3),"",ROUND(M68-SUM(N68:P68),2))</f>
        <v>19088.65</v>
      </c>
    </row>
    <row r="69" ht="22" customHeight="1">
      <c r="A69" s="9" t="inlineStr">
        <is>
          <t>E0068</t>
        </is>
      </c>
      <c r="B69" s="9" t="inlineStr">
        <is>
          <t>周子琳</t>
        </is>
      </c>
      <c r="C69" s="9" t="inlineStr">
        <is>
          <t>法务部</t>
        </is>
      </c>
      <c r="D69" s="9" t="inlineStr">
        <is>
          <t>合同审核专员</t>
        </is>
      </c>
      <c r="E69" s="9" t="inlineStr">
        <is>
          <t>P4-P6</t>
        </is>
      </c>
      <c r="F69" s="9" t="inlineStr">
        <is>
          <t>在职</t>
        </is>
      </c>
      <c r="G69" s="15" t="n">
        <v>44458</v>
      </c>
      <c r="H69" s="11" t="n">
        <v>20</v>
      </c>
      <c r="I69" s="11" t="n">
        <v>20</v>
      </c>
      <c r="J69" s="16" t="n">
        <v>31900</v>
      </c>
      <c r="K69" s="16" t="n">
        <v>2600</v>
      </c>
      <c r="L69" s="16" t="n">
        <v>7000</v>
      </c>
      <c r="M69" s="17">
        <f>IF(COUNTA(J69:L69)&lt;3,"",ROUND(SUM(J69:L69),2))</f>
        <v>41500.00</v>
      </c>
      <c r="N69" s="16" t="n">
        <v>2829.76</v>
      </c>
      <c r="O69" s="16" t="n">
        <v>5757.56</v>
      </c>
      <c r="P69" s="16" t="n">
        <v>80</v>
      </c>
      <c r="Q69" s="17">
        <f>IF(OR(M69="",COUNTA(N69:P69)&lt;3),"",ROUND(M69-SUM(N69:P69),2))</f>
        <v>32832.68</v>
      </c>
    </row>
    <row r="70" ht="22" customHeight="1">
      <c r="A70" s="9" t="inlineStr">
        <is>
          <t>E0069</t>
        </is>
      </c>
      <c r="B70" s="9" t="inlineStr">
        <is>
          <t>吴浩宁</t>
        </is>
      </c>
      <c r="C70" s="9" t="inlineStr">
        <is>
          <t>运维部</t>
        </is>
      </c>
      <c r="D70" s="9" t="inlineStr">
        <is>
          <t>值班工程师</t>
        </is>
      </c>
      <c r="E70" s="9" t="inlineStr">
        <is>
          <t>P3-P5</t>
        </is>
      </c>
      <c r="F70" s="9" t="inlineStr">
        <is>
          <t>试用</t>
        </is>
      </c>
      <c r="G70" s="15" t="n">
        <v>44854</v>
      </c>
      <c r="H70" s="11" t="n">
        <v>21</v>
      </c>
      <c r="I70" s="11" t="n">
        <v>20</v>
      </c>
      <c r="J70" s="16" t="n">
        <v>23800</v>
      </c>
      <c r="K70" s="16" t="n">
        <v>1200</v>
      </c>
      <c r="L70" s="16" t="n">
        <v>1500</v>
      </c>
      <c r="M70" s="17">
        <f>IF(COUNTA(J70:L70)&lt;3,"",ROUND(SUM(J70:L70),2))</f>
        <v>26500.00</v>
      </c>
      <c r="N70" s="16" t="n">
        <v>2213.98</v>
      </c>
      <c r="O70" s="16" t="n">
        <v>2447.2</v>
      </c>
      <c r="P70" s="16" t="n">
        <v>80</v>
      </c>
      <c r="Q70" s="17">
        <f>IF(OR(M70="",COUNTA(N70:P70)&lt;3),"",ROUND(M70-SUM(N70:P70),2))</f>
        <v>21758.82</v>
      </c>
    </row>
    <row r="71" ht="22" customHeight="1">
      <c r="A71" s="9" t="inlineStr">
        <is>
          <t>E0070</t>
        </is>
      </c>
      <c r="B71" s="9" t="inlineStr">
        <is>
          <t>郑凯怡</t>
        </is>
      </c>
      <c r="C71" s="9" t="inlineStr">
        <is>
          <t>信息安全部</t>
        </is>
      </c>
      <c r="D71" s="9" t="inlineStr">
        <is>
          <t>安全工程师</t>
        </is>
      </c>
      <c r="E71" s="9" t="inlineStr">
        <is>
          <t>P3-P5</t>
        </is>
      </c>
      <c r="F71" s="9" t="inlineStr">
        <is>
          <t>休假</t>
        </is>
      </c>
      <c r="G71" s="15" t="n">
        <v>45251</v>
      </c>
      <c r="H71" s="11" t="n">
        <v>21</v>
      </c>
      <c r="I71" s="11" t="n">
        <v>13</v>
      </c>
      <c r="J71" s="16" t="n">
        <v>14600</v>
      </c>
      <c r="K71" s="16" t="n">
        <v>700</v>
      </c>
      <c r="L71" s="16" t="n">
        <v>400</v>
      </c>
      <c r="M71" s="17">
        <f>IF(COUNTA(J71:L71)&lt;3,"",ROUND(SUM(J71:L71),2))</f>
        <v>15700.00</v>
      </c>
      <c r="N71" s="16" t="n">
        <v>1166.38</v>
      </c>
      <c r="O71" s="16" t="n">
        <v>743.36</v>
      </c>
      <c r="P71" s="16" t="n">
        <v>260</v>
      </c>
      <c r="Q71" s="17">
        <f>IF(OR(M71="",COUNTA(N71:P71)&lt;3),"",ROUND(M71-SUM(N71:P71),2))</f>
        <v>13530.26</v>
      </c>
    </row>
    <row r="72" ht="22" customHeight="1">
      <c r="A72" s="9" t="inlineStr">
        <is>
          <t>E0071</t>
        </is>
      </c>
      <c r="B72" s="9" t="inlineStr">
        <is>
          <t>王涵昕</t>
        </is>
      </c>
      <c r="C72" s="9" t="inlineStr">
        <is>
          <t>总经办</t>
        </is>
      </c>
      <c r="D72" s="9" t="inlineStr">
        <is>
          <t>战略分析经理</t>
        </is>
      </c>
      <c r="E72" s="9" t="inlineStr">
        <is>
          <t>P1-P2</t>
        </is>
      </c>
      <c r="F72" s="9" t="inlineStr">
        <is>
          <t>异动</t>
        </is>
      </c>
      <c r="G72" s="15" t="n">
        <v>45648</v>
      </c>
      <c r="H72" s="11" t="n">
        <v>20</v>
      </c>
      <c r="I72" s="11" t="n">
        <v>17</v>
      </c>
      <c r="J72" s="16" t="n">
        <v>14400</v>
      </c>
      <c r="K72" s="16" t="n">
        <v>1100</v>
      </c>
      <c r="L72" s="16" t="n">
        <v>2300</v>
      </c>
      <c r="M72" s="17">
        <f>IF(COUNTA(J72:L72)&lt;3,"",ROUND(SUM(J72:L72),2))</f>
        <v>17800.00</v>
      </c>
      <c r="N72" s="16" t="n">
        <v>1224.39</v>
      </c>
      <c r="O72" s="16" t="n">
        <v>947.5599999999999</v>
      </c>
      <c r="P72" s="16" t="n">
        <v>50</v>
      </c>
      <c r="Q72" s="17">
        <f>IF(OR(M72="",COUNTA(N72:P72)&lt;3),"",ROUND(M72-SUM(N72:P72),2))</f>
        <v>15578.05</v>
      </c>
    </row>
    <row r="73" ht="22" customHeight="1">
      <c r="A73" s="9" t="inlineStr">
        <is>
          <t>E0072</t>
        </is>
      </c>
      <c r="B73" s="9" t="inlineStr">
        <is>
          <t>冯晨婷</t>
        </is>
      </c>
      <c r="C73" s="9" t="inlineStr">
        <is>
          <t>研发部</t>
        </is>
      </c>
      <c r="D73" s="9" t="inlineStr">
        <is>
          <t>测试开发工程师</t>
        </is>
      </c>
      <c r="E73" s="9" t="inlineStr">
        <is>
          <t>P3-P5</t>
        </is>
      </c>
      <c r="F73" s="9" t="inlineStr">
        <is>
          <t>在职</t>
        </is>
      </c>
      <c r="G73" s="15" t="n">
        <v>44219</v>
      </c>
      <c r="H73" s="11" t="n">
        <v>21</v>
      </c>
      <c r="I73" s="11" t="n">
        <v>21</v>
      </c>
      <c r="J73" s="16" t="n">
        <v>17700</v>
      </c>
      <c r="K73" s="16" t="n">
        <v>3200</v>
      </c>
      <c r="L73" s="16" t="n">
        <v>5100</v>
      </c>
      <c r="M73" s="17">
        <f>IF(COUNTA(J73:L73)&lt;3,"",ROUND(SUM(J73:L73),2))</f>
        <v>26000.00</v>
      </c>
      <c r="N73" s="16" t="n">
        <v>1413.34</v>
      </c>
      <c r="O73" s="16" t="n">
        <v>2507.33</v>
      </c>
      <c r="P73" s="16" t="n">
        <v>260</v>
      </c>
      <c r="Q73" s="17">
        <f>IF(OR(M73="",COUNTA(N73:P73)&lt;3),"",ROUND(M73-SUM(N73:P73),2))</f>
        <v>21819.33</v>
      </c>
    </row>
    <row r="74" ht="22" customHeight="1">
      <c r="A74" s="9" t="inlineStr">
        <is>
          <t>E0073</t>
        </is>
      </c>
      <c r="B74" s="9" t="inlineStr">
        <is>
          <t>陈思轩</t>
        </is>
      </c>
      <c r="C74" s="9" t="inlineStr">
        <is>
          <t>数据部</t>
        </is>
      </c>
      <c r="D74" s="9" t="inlineStr">
        <is>
          <t>数据工程师</t>
        </is>
      </c>
      <c r="E74" s="9" t="inlineStr">
        <is>
          <t>P3-P5</t>
        </is>
      </c>
      <c r="F74" s="9" t="inlineStr">
        <is>
          <t>试用</t>
        </is>
      </c>
      <c r="G74" s="15" t="n">
        <v>44616</v>
      </c>
      <c r="H74" s="11" t="n">
        <v>22</v>
      </c>
      <c r="I74" s="11" t="n">
        <v>22</v>
      </c>
      <c r="J74" s="16" t="n">
        <v>18900</v>
      </c>
      <c r="K74" s="16" t="n">
        <v>1000</v>
      </c>
      <c r="L74" s="16" t="n">
        <v>500</v>
      </c>
      <c r="M74" s="17">
        <f>IF(COUNTA(J74:L74)&lt;3,"",ROUND(SUM(J74:L74),2))</f>
        <v>20400.00</v>
      </c>
      <c r="N74" s="16" t="n">
        <v>1525.19</v>
      </c>
      <c r="O74" s="16" t="n">
        <v>1364.96</v>
      </c>
      <c r="P74" s="16" t="n">
        <v>50</v>
      </c>
      <c r="Q74" s="17">
        <f>IF(OR(M74="",COUNTA(N74:P74)&lt;3),"",ROUND(M74-SUM(N74:P74),2))</f>
        <v>17459.85</v>
      </c>
    </row>
    <row r="75" ht="22" customHeight="1">
      <c r="A75" s="9" t="inlineStr">
        <is>
          <t>E0074</t>
        </is>
      </c>
      <c r="B75" s="9" t="inlineStr">
        <is>
          <t>褚若琪</t>
        </is>
      </c>
      <c r="C75" s="9" t="inlineStr">
        <is>
          <t>产品部</t>
        </is>
      </c>
      <c r="D75" s="9" t="inlineStr">
        <is>
          <t>需求分析师</t>
        </is>
      </c>
      <c r="E75" s="9" t="inlineStr">
        <is>
          <t>P4-P6</t>
        </is>
      </c>
      <c r="F75" s="9" t="inlineStr">
        <is>
          <t>休假</t>
        </is>
      </c>
      <c r="G75" s="15" t="n">
        <v>45010</v>
      </c>
      <c r="H75" s="11" t="n">
        <v>22</v>
      </c>
      <c r="I75" s="11" t="n">
        <v>20</v>
      </c>
      <c r="J75" s="16" t="n">
        <v>25800</v>
      </c>
      <c r="K75" s="16" t="n">
        <v>1100</v>
      </c>
      <c r="L75" s="16" t="n">
        <v>1200</v>
      </c>
      <c r="M75" s="17">
        <f>IF(COUNTA(J75:L75)&lt;3,"",ROUND(SUM(J75:L75),2))</f>
        <v>28100.00</v>
      </c>
      <c r="N75" s="16" t="n">
        <v>2124.21</v>
      </c>
      <c r="O75" s="16" t="n">
        <v>2785.16</v>
      </c>
      <c r="P75" s="16" t="n">
        <v>900</v>
      </c>
      <c r="Q75" s="17">
        <f>IF(OR(M75="",COUNTA(N75:P75)&lt;3),"",ROUND(M75-SUM(N75:P75),2))</f>
        <v>22290.63</v>
      </c>
    </row>
    <row r="76" ht="22" customHeight="1">
      <c r="A76" s="9" t="inlineStr">
        <is>
          <t>E0075</t>
        </is>
      </c>
      <c r="B76" s="9" t="inlineStr">
        <is>
          <t>卫雅彬</t>
        </is>
      </c>
      <c r="C76" s="9" t="inlineStr">
        <is>
          <t>市场部</t>
        </is>
      </c>
      <c r="D76" s="9" t="inlineStr">
        <is>
          <t>内容运营</t>
        </is>
      </c>
      <c r="E76" s="9" t="inlineStr">
        <is>
          <t>P5-P6</t>
        </is>
      </c>
      <c r="F76" s="9" t="inlineStr">
        <is>
          <t>异动</t>
        </is>
      </c>
      <c r="G76" s="15" t="n">
        <v>45383</v>
      </c>
      <c r="H76" s="11" t="n">
        <v>20</v>
      </c>
      <c r="I76" s="11" t="n">
        <v>19</v>
      </c>
      <c r="J76" s="16" t="n">
        <v>24200</v>
      </c>
      <c r="K76" s="16" t="n">
        <v>5100</v>
      </c>
      <c r="L76" s="16" t="n">
        <v>3300</v>
      </c>
      <c r="M76" s="17">
        <f>IF(COUNTA(J76:L76)&lt;3,"",ROUND(SUM(J76:L76),2))</f>
        <v>32600.00</v>
      </c>
      <c r="N76" s="16" t="n">
        <v>2121.03</v>
      </c>
      <c r="O76" s="16" t="n">
        <v>3709.74</v>
      </c>
      <c r="P76" s="16" t="n">
        <v>80</v>
      </c>
      <c r="Q76" s="17">
        <f>IF(OR(M76="",COUNTA(N76:P76)&lt;3),"",ROUND(M76-SUM(N76:P76),2))</f>
        <v>26689.23</v>
      </c>
    </row>
    <row r="77" ht="22" customHeight="1">
      <c r="A77" s="9" t="inlineStr">
        <is>
          <t>E0076</t>
        </is>
      </c>
      <c r="B77" s="9" t="inlineStr">
        <is>
          <t>蒋子妍</t>
        </is>
      </c>
      <c r="C77" s="9" t="inlineStr">
        <is>
          <t>销售部</t>
        </is>
      </c>
      <c r="D77" s="9" t="inlineStr">
        <is>
          <t>大客户经理</t>
        </is>
      </c>
      <c r="E77" s="9" t="inlineStr">
        <is>
          <t>P4-P6</t>
        </is>
      </c>
      <c r="F77" s="9" t="inlineStr">
        <is>
          <t>在职</t>
        </is>
      </c>
      <c r="G77" s="15" t="n">
        <v>44318</v>
      </c>
      <c r="H77" s="11" t="n">
        <v>21</v>
      </c>
      <c r="I77" s="11" t="n">
        <v>20</v>
      </c>
      <c r="J77" s="16" t="n">
        <v>30500</v>
      </c>
      <c r="K77" s="16" t="n">
        <v>2300</v>
      </c>
      <c r="L77" s="16" t="n">
        <v>3300</v>
      </c>
      <c r="M77" s="17">
        <f>IF(COUNTA(J77:L77)&lt;3,"",ROUND(SUM(J77:L77),2))</f>
        <v>36100.00</v>
      </c>
      <c r="N77" s="16" t="n">
        <v>2686.15</v>
      </c>
      <c r="O77" s="16" t="n">
        <v>4443.46</v>
      </c>
      <c r="P77" s="16" t="n">
        <v>600</v>
      </c>
      <c r="Q77" s="17">
        <f>IF(OR(M77="",COUNTA(N77:P77)&lt;3),"",ROUND(M77-SUM(N77:P77),2))</f>
        <v>28370.39</v>
      </c>
    </row>
    <row r="78" ht="22" customHeight="1">
      <c r="A78" s="9" t="inlineStr">
        <is>
          <t>E0077</t>
        </is>
      </c>
      <c r="B78" s="9" t="inlineStr">
        <is>
          <t>沈浩博</t>
        </is>
      </c>
      <c r="C78" s="9" t="inlineStr">
        <is>
          <t>客服部</t>
        </is>
      </c>
      <c r="D78" s="9" t="inlineStr">
        <is>
          <t>售后专员</t>
        </is>
      </c>
      <c r="E78" s="9" t="inlineStr">
        <is>
          <t>P6-P7</t>
        </is>
      </c>
      <c r="F78" s="9" t="inlineStr">
        <is>
          <t>试用</t>
        </is>
      </c>
      <c r="G78" s="15" t="n">
        <v>44715</v>
      </c>
      <c r="H78" s="11" t="n">
        <v>21</v>
      </c>
      <c r="I78" s="11" t="n">
        <v>20</v>
      </c>
      <c r="J78" s="16" t="n">
        <v>50300</v>
      </c>
      <c r="K78" s="16" t="n">
        <v>4000</v>
      </c>
      <c r="L78" s="16" t="n">
        <v>4400</v>
      </c>
      <c r="M78" s="17">
        <f>IF(COUNTA(J78:L78)&lt;3,"",ROUND(SUM(J78:L78),2))</f>
        <v>58700.00</v>
      </c>
      <c r="N78" s="16" t="n">
        <v>3790.61</v>
      </c>
      <c r="O78" s="16" t="n">
        <v>10562.82</v>
      </c>
      <c r="P78" s="16" t="n">
        <v>180</v>
      </c>
      <c r="Q78" s="17">
        <f>IF(OR(M78="",COUNTA(N78:P78)&lt;3),"",ROUND(M78-SUM(N78:P78),2))</f>
        <v>44166.57</v>
      </c>
    </row>
    <row r="79" ht="22" customHeight="1">
      <c r="A79" s="9" t="inlineStr">
        <is>
          <t>E0078</t>
        </is>
      </c>
      <c r="B79" s="9" t="inlineStr">
        <is>
          <t>韩凯瑜</t>
        </is>
      </c>
      <c r="C79" s="9" t="inlineStr">
        <is>
          <t>财务部</t>
        </is>
      </c>
      <c r="D79" s="9" t="inlineStr">
        <is>
          <t>资金管理员</t>
        </is>
      </c>
      <c r="E79" s="9" t="inlineStr">
        <is>
          <t>P4-P6</t>
        </is>
      </c>
      <c r="F79" s="9" t="inlineStr">
        <is>
          <t>休假</t>
        </is>
      </c>
      <c r="G79" s="15" t="n">
        <v>45111</v>
      </c>
      <c r="H79" s="11" t="n">
        <v>20</v>
      </c>
      <c r="I79" s="11" t="n">
        <v>17</v>
      </c>
      <c r="J79" s="16" t="n">
        <v>20700</v>
      </c>
      <c r="K79" s="16" t="n">
        <v>900</v>
      </c>
      <c r="L79" s="16" t="n">
        <v>1200</v>
      </c>
      <c r="M79" s="17">
        <f>IF(COUNTA(J79:L79)&lt;3,"",ROUND(SUM(J79:L79),2))</f>
        <v>22800.00</v>
      </c>
      <c r="N79" s="16" t="n">
        <v>1925.85</v>
      </c>
      <c r="O79" s="16" t="n">
        <v>1764.83</v>
      </c>
      <c r="P79" s="16" t="n">
        <v>50</v>
      </c>
      <c r="Q79" s="17">
        <f>IF(OR(M79="",COUNTA(N79:P79)&lt;3),"",ROUND(M79-SUM(N79:P79),2))</f>
        <v>19059.32</v>
      </c>
    </row>
    <row r="80" ht="22" customHeight="1">
      <c r="A80" s="9" t="inlineStr">
        <is>
          <t>E0079</t>
        </is>
      </c>
      <c r="B80" s="9" t="inlineStr">
        <is>
          <t>杨涵杰</t>
        </is>
      </c>
      <c r="C80" s="9" t="inlineStr">
        <is>
          <t>人力资源部</t>
        </is>
      </c>
      <c r="D80" s="9" t="inlineStr">
        <is>
          <t>招聘专员</t>
        </is>
      </c>
      <c r="E80" s="9" t="inlineStr">
        <is>
          <t>P5-P7</t>
        </is>
      </c>
      <c r="F80" s="9" t="inlineStr">
        <is>
          <t>异动</t>
        </is>
      </c>
      <c r="G80" s="15" t="n">
        <v>45509</v>
      </c>
      <c r="H80" s="11" t="n">
        <v>23</v>
      </c>
      <c r="I80" s="11" t="n">
        <v>22</v>
      </c>
      <c r="J80" s="16" t="n">
        <v>36200</v>
      </c>
      <c r="K80" s="16" t="n">
        <v>5700</v>
      </c>
      <c r="L80" s="16" t="n">
        <v>5200</v>
      </c>
      <c r="M80" s="17">
        <f>IF(COUNTA(J80:L80)&lt;3,"",ROUND(SUM(J80:L80),2))</f>
        <v>47100.00</v>
      </c>
      <c r="N80" s="16" t="n">
        <v>3218.39</v>
      </c>
      <c r="O80" s="16" t="n">
        <v>7254.48</v>
      </c>
      <c r="P80" s="16" t="n">
        <v>600</v>
      </c>
      <c r="Q80" s="17">
        <f>IF(OR(M80="",COUNTA(N80:P80)&lt;3),"",ROUND(M80-SUM(N80:P80),2))</f>
        <v>36027.13</v>
      </c>
    </row>
    <row r="81" ht="22" customHeight="1">
      <c r="A81" s="9" t="inlineStr">
        <is>
          <t>E0080</t>
        </is>
      </c>
      <c r="B81" s="9" t="inlineStr">
        <is>
          <t>朱晨瑶</t>
        </is>
      </c>
      <c r="C81" s="9" t="inlineStr">
        <is>
          <t>行政部</t>
        </is>
      </c>
      <c r="D81" s="9" t="inlineStr">
        <is>
          <t>后勤主管</t>
        </is>
      </c>
      <c r="E81" s="9" t="inlineStr">
        <is>
          <t>P6-P7</t>
        </is>
      </c>
      <c r="F81" s="9" t="inlineStr">
        <is>
          <t>在职</t>
        </is>
      </c>
      <c r="G81" s="15" t="n">
        <v>44445</v>
      </c>
      <c r="H81" s="11" t="n">
        <v>21</v>
      </c>
      <c r="I81" s="11" t="n">
        <v>21</v>
      </c>
      <c r="J81" s="16" t="n">
        <v>49500</v>
      </c>
      <c r="K81" s="16" t="n">
        <v>10500</v>
      </c>
      <c r="L81" s="16" t="n">
        <v>15900</v>
      </c>
      <c r="M81" s="17">
        <f>IF(COUNTA(J81:L81)&lt;3,"",ROUND(SUM(J81:L81),2))</f>
        <v>75900.00</v>
      </c>
      <c r="N81" s="16" t="n">
        <v>3800</v>
      </c>
      <c r="O81" s="16" t="n">
        <v>16325</v>
      </c>
      <c r="P81" s="16" t="n">
        <v>400</v>
      </c>
      <c r="Q81" s="17">
        <f>IF(OR(M81="",COUNTA(N81:P81)&lt;3),"",ROUND(M81-SUM(N81:P81),2))</f>
        <v>55375.00</v>
      </c>
    </row>
    <row r="82" ht="22" customHeight="1">
      <c r="A82" s="9" t="inlineStr">
        <is>
          <t>E0081</t>
        </is>
      </c>
      <c r="B82" s="9" t="inlineStr">
        <is>
          <t>秦思航</t>
        </is>
      </c>
      <c r="C82" s="9" t="inlineStr">
        <is>
          <t>采购部</t>
        </is>
      </c>
      <c r="D82" s="9" t="inlineStr">
        <is>
          <t>采购主管</t>
        </is>
      </c>
      <c r="E82" s="9" t="inlineStr">
        <is>
          <t>P4-P6</t>
        </is>
      </c>
      <c r="F82" s="9" t="inlineStr">
        <is>
          <t>试用</t>
        </is>
      </c>
      <c r="G82" s="15" t="n">
        <v>44841</v>
      </c>
      <c r="H82" s="11" t="n">
        <v>21</v>
      </c>
      <c r="I82" s="11" t="n">
        <v>19</v>
      </c>
      <c r="J82" s="16" t="n">
        <v>18400</v>
      </c>
      <c r="K82" s="16" t="n">
        <v>800</v>
      </c>
      <c r="L82" s="16" t="n">
        <v>300</v>
      </c>
      <c r="M82" s="17">
        <f>IF(COUNTA(J82:L82)&lt;3,"",ROUND(SUM(J82:L82),2))</f>
        <v>19500.00</v>
      </c>
      <c r="N82" s="16" t="n">
        <v>1567.59</v>
      </c>
      <c r="O82" s="16" t="n">
        <v>1176.48</v>
      </c>
      <c r="P82" s="16" t="n">
        <v>0</v>
      </c>
      <c r="Q82" s="17">
        <f>IF(OR(M82="",COUNTA(N82:P82)&lt;3),"",ROUND(M82-SUM(N82:P82),2))</f>
        <v>16755.93</v>
      </c>
    </row>
    <row r="83" ht="22" customHeight="1">
      <c r="A83" s="9" t="inlineStr">
        <is>
          <t>E0082</t>
        </is>
      </c>
      <c r="B83" s="9" t="inlineStr">
        <is>
          <t>尤若哲</t>
        </is>
      </c>
      <c r="C83" s="9" t="inlineStr">
        <is>
          <t>法务部</t>
        </is>
      </c>
      <c r="D83" s="9" t="inlineStr">
        <is>
          <t>法务专员</t>
        </is>
      </c>
      <c r="E83" s="9" t="inlineStr">
        <is>
          <t>P4-P6</t>
        </is>
      </c>
      <c r="F83" s="9" t="inlineStr">
        <is>
          <t>休假</t>
        </is>
      </c>
      <c r="G83" s="15" t="n">
        <v>45238</v>
      </c>
      <c r="H83" s="11" t="n">
        <v>20</v>
      </c>
      <c r="I83" s="11" t="n">
        <v>14</v>
      </c>
      <c r="J83" s="16" t="n">
        <v>22700</v>
      </c>
      <c r="K83" s="16" t="n">
        <v>2700</v>
      </c>
      <c r="L83" s="16" t="n">
        <v>400</v>
      </c>
      <c r="M83" s="17">
        <f>IF(COUNTA(J83:L83)&lt;3,"",ROUND(SUM(J83:L83),2))</f>
        <v>25800.00</v>
      </c>
      <c r="N83" s="16" t="n">
        <v>2111.92</v>
      </c>
      <c r="O83" s="16" t="n">
        <v>2327.62</v>
      </c>
      <c r="P83" s="16" t="n">
        <v>180</v>
      </c>
      <c r="Q83" s="17">
        <f>IF(OR(M83="",COUNTA(N83:P83)&lt;3),"",ROUND(M83-SUM(N83:P83),2))</f>
        <v>21180.46</v>
      </c>
    </row>
    <row r="84" ht="22" customHeight="1">
      <c r="A84" s="9" t="inlineStr">
        <is>
          <t>E0083</t>
        </is>
      </c>
      <c r="B84" s="9" t="inlineStr">
        <is>
          <t>许雅霖</t>
        </is>
      </c>
      <c r="C84" s="9" t="inlineStr">
        <is>
          <t>运维部</t>
        </is>
      </c>
      <c r="D84" s="9" t="inlineStr">
        <is>
          <t>云平台工程师</t>
        </is>
      </c>
      <c r="E84" s="9" t="inlineStr">
        <is>
          <t>P3-P5</t>
        </is>
      </c>
      <c r="F84" s="9" t="inlineStr">
        <is>
          <t>异动</t>
        </is>
      </c>
      <c r="G84" s="15" t="n">
        <v>45635</v>
      </c>
      <c r="H84" s="11" t="n">
        <v>22</v>
      </c>
      <c r="I84" s="11" t="n">
        <v>19</v>
      </c>
      <c r="J84" s="16" t="n">
        <v>14600</v>
      </c>
      <c r="K84" s="16" t="n">
        <v>2400</v>
      </c>
      <c r="L84" s="16" t="n">
        <v>1900</v>
      </c>
      <c r="M84" s="17">
        <f>IF(COUNTA(J84:L84)&lt;3,"",ROUND(SUM(J84:L84),2))</f>
        <v>18900.00</v>
      </c>
      <c r="N84" s="16" t="n">
        <v>1149.86</v>
      </c>
      <c r="O84" s="16" t="n">
        <v>1140.03</v>
      </c>
      <c r="P84" s="16" t="n">
        <v>400</v>
      </c>
      <c r="Q84" s="17">
        <f>IF(OR(M84="",COUNTA(N84:P84)&lt;3),"",ROUND(M84-SUM(N84:P84),2))</f>
        <v>16210.11</v>
      </c>
    </row>
    <row r="85" ht="22" customHeight="1">
      <c r="A85" s="9" t="inlineStr">
        <is>
          <t>E0084</t>
        </is>
      </c>
      <c r="B85" s="9" t="inlineStr">
        <is>
          <t>何子涵</t>
        </is>
      </c>
      <c r="C85" s="9" t="inlineStr">
        <is>
          <t>信息安全部</t>
        </is>
      </c>
      <c r="D85" s="9" t="inlineStr">
        <is>
          <t>审计分析师</t>
        </is>
      </c>
      <c r="E85" s="9" t="inlineStr">
        <is>
          <t>P3-P5</t>
        </is>
      </c>
      <c r="F85" s="9" t="inlineStr">
        <is>
          <t>在职</t>
        </is>
      </c>
      <c r="G85" s="15" t="n">
        <v>44206</v>
      </c>
      <c r="H85" s="11" t="n">
        <v>22</v>
      </c>
      <c r="I85" s="11" t="n">
        <v>22</v>
      </c>
      <c r="J85" s="16" t="n">
        <v>22400</v>
      </c>
      <c r="K85" s="16" t="n">
        <v>3500</v>
      </c>
      <c r="L85" s="16" t="n">
        <v>3000</v>
      </c>
      <c r="M85" s="17">
        <f>IF(COUNTA(J85:L85)&lt;3,"",ROUND(SUM(J85:L85),2))</f>
        <v>28900.00</v>
      </c>
      <c r="N85" s="16" t="n">
        <v>2103.89</v>
      </c>
      <c r="O85" s="16" t="n">
        <v>2949.22</v>
      </c>
      <c r="P85" s="16" t="n">
        <v>80</v>
      </c>
      <c r="Q85" s="17">
        <f>IF(OR(M85="",COUNTA(N85:P85)&lt;3),"",ROUND(M85-SUM(N85:P85),2))</f>
        <v>23766.89</v>
      </c>
    </row>
    <row r="86" ht="22" customHeight="1">
      <c r="A86" s="9" t="inlineStr">
        <is>
          <t>E0085</t>
        </is>
      </c>
      <c r="B86" s="9" t="inlineStr">
        <is>
          <t>吕浩妤</t>
        </is>
      </c>
      <c r="C86" s="9" t="inlineStr">
        <is>
          <t>总经办</t>
        </is>
      </c>
      <c r="D86" s="9" t="inlineStr">
        <is>
          <t>总经理助理</t>
        </is>
      </c>
      <c r="E86" s="9" t="inlineStr">
        <is>
          <t>P1-P2</t>
        </is>
      </c>
      <c r="F86" s="9" t="inlineStr">
        <is>
          <t>试用</t>
        </is>
      </c>
      <c r="G86" s="15" t="n">
        <v>44603</v>
      </c>
      <c r="H86" s="11" t="n">
        <v>20</v>
      </c>
      <c r="I86" s="11" t="n">
        <v>20</v>
      </c>
      <c r="J86" s="16" t="n">
        <v>15400</v>
      </c>
      <c r="K86" s="16" t="n">
        <v>1000</v>
      </c>
      <c r="L86" s="16" t="n">
        <v>600</v>
      </c>
      <c r="M86" s="17">
        <f>IF(COUNTA(J86:L86)&lt;3,"",ROUND(SUM(J86:L86),2))</f>
        <v>17000.00</v>
      </c>
      <c r="N86" s="16" t="n">
        <v>1275.26</v>
      </c>
      <c r="O86" s="16" t="n">
        <v>862.47</v>
      </c>
      <c r="P86" s="16" t="n">
        <v>50</v>
      </c>
      <c r="Q86" s="17">
        <f>IF(OR(M86="",COUNTA(N86:P86)&lt;3),"",ROUND(M86-SUM(N86:P86),2))</f>
        <v>14812.27</v>
      </c>
    </row>
    <row r="87" ht="22" customHeight="1">
      <c r="A87" s="9" t="inlineStr">
        <is>
          <t>E0086</t>
        </is>
      </c>
      <c r="B87" s="9" t="inlineStr">
        <is>
          <t>施凯然</t>
        </is>
      </c>
      <c r="C87" s="9" t="inlineStr">
        <is>
          <t>研发部</t>
        </is>
      </c>
      <c r="D87" s="9" t="inlineStr">
        <is>
          <t>前端开发工程师</t>
        </is>
      </c>
      <c r="E87" s="9" t="inlineStr">
        <is>
          <t>P3-P5</t>
        </is>
      </c>
      <c r="F87" s="9" t="inlineStr">
        <is>
          <t>休假</t>
        </is>
      </c>
      <c r="G87" s="15" t="n">
        <v>44997</v>
      </c>
      <c r="H87" s="11" t="n">
        <v>22</v>
      </c>
      <c r="I87" s="11" t="n">
        <v>15</v>
      </c>
      <c r="J87" s="16" t="n">
        <v>21700</v>
      </c>
      <c r="K87" s="16" t="n">
        <v>800</v>
      </c>
      <c r="L87" s="16" t="n">
        <v>1000</v>
      </c>
      <c r="M87" s="17">
        <f>IF(COUNTA(J87:L87)&lt;3,"",ROUND(SUM(J87:L87),2))</f>
        <v>23500.00</v>
      </c>
      <c r="N87" s="16" t="n">
        <v>1815.73</v>
      </c>
      <c r="O87" s="16" t="n">
        <v>1926.85</v>
      </c>
      <c r="P87" s="16" t="n">
        <v>400</v>
      </c>
      <c r="Q87" s="17">
        <f>IF(OR(M87="",COUNTA(N87:P87)&lt;3),"",ROUND(M87-SUM(N87:P87),2))</f>
        <v>19357.42</v>
      </c>
    </row>
    <row r="88" ht="22" customHeight="1">
      <c r="A88" s="9" t="inlineStr">
        <is>
          <t>E0087</t>
        </is>
      </c>
      <c r="B88" s="9" t="inlineStr">
        <is>
          <t>张涵珺</t>
        </is>
      </c>
      <c r="C88" s="9" t="inlineStr">
        <is>
          <t>数据部</t>
        </is>
      </c>
      <c r="D88" s="9" t="inlineStr">
        <is>
          <t>BI 开发工程师</t>
        </is>
      </c>
      <c r="E88" s="9" t="inlineStr">
        <is>
          <t>P3-P5</t>
        </is>
      </c>
      <c r="F88" s="9" t="inlineStr">
        <is>
          <t>异动</t>
        </is>
      </c>
      <c r="G88" s="15" t="n">
        <v>45395</v>
      </c>
      <c r="H88" s="11" t="n">
        <v>22</v>
      </c>
      <c r="I88" s="11" t="n">
        <v>19</v>
      </c>
      <c r="J88" s="16" t="n">
        <v>14500</v>
      </c>
      <c r="K88" s="16" t="n">
        <v>2300</v>
      </c>
      <c r="L88" s="16" t="n">
        <v>1100</v>
      </c>
      <c r="M88" s="17">
        <f>IF(COUNTA(J88:L88)&lt;3,"",ROUND(SUM(J88:L88),2))</f>
        <v>17900.00</v>
      </c>
      <c r="N88" s="16" t="n">
        <v>1284.01</v>
      </c>
      <c r="O88" s="16" t="n">
        <v>951.6</v>
      </c>
      <c r="P88" s="16" t="n">
        <v>180</v>
      </c>
      <c r="Q88" s="17">
        <f>IF(OR(M88="",COUNTA(N88:P88)&lt;3),"",ROUND(M88-SUM(N88:P88),2))</f>
        <v>15484.39</v>
      </c>
    </row>
    <row r="89" ht="22" customHeight="1">
      <c r="A89" s="9" t="inlineStr">
        <is>
          <t>E0088</t>
        </is>
      </c>
      <c r="B89" s="9" t="inlineStr">
        <is>
          <t>孔晨彤</t>
        </is>
      </c>
      <c r="C89" s="9" t="inlineStr">
        <is>
          <t>产品部</t>
        </is>
      </c>
      <c r="D89" s="9" t="inlineStr">
        <is>
          <t>产品经理</t>
        </is>
      </c>
      <c r="E89" s="9" t="inlineStr">
        <is>
          <t>P4-P6</t>
        </is>
      </c>
      <c r="F89" s="9" t="inlineStr">
        <is>
          <t>在职</t>
        </is>
      </c>
      <c r="G89" s="15" t="n">
        <v>44330</v>
      </c>
      <c r="H89" s="11" t="n">
        <v>21</v>
      </c>
      <c r="I89" s="11" t="n">
        <v>20</v>
      </c>
      <c r="J89" s="16" t="n">
        <v>28400</v>
      </c>
      <c r="K89" s="16" t="n">
        <v>1400</v>
      </c>
      <c r="L89" s="16" t="n">
        <v>6200</v>
      </c>
      <c r="M89" s="17">
        <f>IF(COUNTA(J89:L89)&lt;3,"",ROUND(SUM(J89:L89),2))</f>
        <v>36000.00</v>
      </c>
      <c r="N89" s="16" t="n">
        <v>2609.11</v>
      </c>
      <c r="O89" s="16" t="n">
        <v>4437.72</v>
      </c>
      <c r="P89" s="16" t="n">
        <v>260</v>
      </c>
      <c r="Q89" s="17">
        <f>IF(OR(M89="",COUNTA(N89:P89)&lt;3),"",ROUND(M89-SUM(N89:P89),2))</f>
        <v>28693.17</v>
      </c>
    </row>
    <row r="90" ht="22" customHeight="1">
      <c r="A90" s="9" t="inlineStr">
        <is>
          <t>E0089</t>
        </is>
      </c>
      <c r="B90" s="9" t="inlineStr">
        <is>
          <t>曹思琳</t>
        </is>
      </c>
      <c r="C90" s="9" t="inlineStr">
        <is>
          <t>市场部</t>
        </is>
      </c>
      <c r="D90" s="9" t="inlineStr">
        <is>
          <t>品牌经理</t>
        </is>
      </c>
      <c r="E90" s="9" t="inlineStr">
        <is>
          <t>P5-P6</t>
        </is>
      </c>
      <c r="F90" s="9" t="inlineStr">
        <is>
          <t>试用</t>
        </is>
      </c>
      <c r="G90" s="15" t="n">
        <v>44727</v>
      </c>
      <c r="H90" s="11" t="n">
        <v>20</v>
      </c>
      <c r="I90" s="11" t="n">
        <v>18</v>
      </c>
      <c r="J90" s="16" t="n">
        <v>30600</v>
      </c>
      <c r="K90" s="16" t="n">
        <v>3900</v>
      </c>
      <c r="L90" s="16" t="n">
        <v>2500</v>
      </c>
      <c r="M90" s="17">
        <f>IF(COUNTA(J90:L90)&lt;3,"",ROUND(SUM(J90:L90),2))</f>
        <v>37000.00</v>
      </c>
      <c r="N90" s="16" t="n">
        <v>2870.82</v>
      </c>
      <c r="O90" s="16" t="n">
        <v>4622.3</v>
      </c>
      <c r="P90" s="16" t="n">
        <v>0</v>
      </c>
      <c r="Q90" s="17">
        <f>IF(OR(M90="",COUNTA(N90:P90)&lt;3),"",ROUND(M90-SUM(N90:P90),2))</f>
        <v>29506.88</v>
      </c>
    </row>
    <row r="91" ht="22" customHeight="1">
      <c r="A91" s="9" t="inlineStr">
        <is>
          <t>E0090</t>
        </is>
      </c>
      <c r="B91" s="9" t="inlineStr">
        <is>
          <t>严若宁</t>
        </is>
      </c>
      <c r="C91" s="9" t="inlineStr">
        <is>
          <t>销售部</t>
        </is>
      </c>
      <c r="D91" s="9" t="inlineStr">
        <is>
          <t>渠道经理</t>
        </is>
      </c>
      <c r="E91" s="9" t="inlineStr">
        <is>
          <t>P4-P6</t>
        </is>
      </c>
      <c r="F91" s="9" t="inlineStr">
        <is>
          <t>休假</t>
        </is>
      </c>
      <c r="G91" s="15" t="n">
        <v>45123</v>
      </c>
      <c r="H91" s="11" t="n">
        <v>22</v>
      </c>
      <c r="I91" s="11" t="n">
        <v>16</v>
      </c>
      <c r="J91" s="16" t="n">
        <v>26000</v>
      </c>
      <c r="K91" s="16" t="n">
        <v>3200</v>
      </c>
      <c r="L91" s="16" t="n">
        <v>800</v>
      </c>
      <c r="M91" s="17">
        <f>IF(COUNTA(J91:L91)&lt;3,"",ROUND(SUM(J91:L91),2))</f>
        <v>30000.00</v>
      </c>
      <c r="N91" s="16" t="n">
        <v>2390.99</v>
      </c>
      <c r="O91" s="16" t="n">
        <v>3111.8</v>
      </c>
      <c r="P91" s="16" t="n">
        <v>400</v>
      </c>
      <c r="Q91" s="17">
        <f>IF(OR(M91="",COUNTA(N91:P91)&lt;3),"",ROUND(M91-SUM(N91:P91),2))</f>
        <v>24097.21</v>
      </c>
    </row>
    <row r="92" ht="22" customHeight="1">
      <c r="A92" s="9" t="inlineStr">
        <is>
          <t>E0091</t>
        </is>
      </c>
      <c r="B92" s="9" t="inlineStr">
        <is>
          <t>华雅怡</t>
        </is>
      </c>
      <c r="C92" s="9" t="inlineStr">
        <is>
          <t>客服部</t>
        </is>
      </c>
      <c r="D92" s="9" t="inlineStr">
        <is>
          <t>客户成功经理</t>
        </is>
      </c>
      <c r="E92" s="9" t="inlineStr">
        <is>
          <t>P6-P7</t>
        </is>
      </c>
      <c r="F92" s="9" t="inlineStr">
        <is>
          <t>异动</t>
        </is>
      </c>
      <c r="G92" s="15" t="n">
        <v>45521</v>
      </c>
      <c r="H92" s="11" t="n">
        <v>22</v>
      </c>
      <c r="I92" s="11" t="n">
        <v>20</v>
      </c>
      <c r="J92" s="16" t="n">
        <v>49400</v>
      </c>
      <c r="K92" s="16" t="n">
        <v>9700</v>
      </c>
      <c r="L92" s="16" t="n">
        <v>6300</v>
      </c>
      <c r="M92" s="17">
        <f>IF(COUNTA(J92:L92)&lt;3,"",ROUND(SUM(J92:L92),2))</f>
        <v>65400.00</v>
      </c>
      <c r="N92" s="16" t="n">
        <v>3800</v>
      </c>
      <c r="O92" s="16" t="n">
        <v>12650</v>
      </c>
      <c r="P92" s="16" t="n">
        <v>0</v>
      </c>
      <c r="Q92" s="17">
        <f>IF(OR(M92="",COUNTA(N92:P92)&lt;3),"",ROUND(M92-SUM(N92:P92),2))</f>
        <v>48950.00</v>
      </c>
    </row>
    <row r="93" ht="22" customHeight="1">
      <c r="A93" s="9" t="inlineStr">
        <is>
          <t>E0092</t>
        </is>
      </c>
      <c r="B93" s="9" t="inlineStr">
        <is>
          <t>金子昕</t>
        </is>
      </c>
      <c r="C93" s="9" t="inlineStr">
        <is>
          <t>财务部</t>
        </is>
      </c>
      <c r="D93" s="9" t="inlineStr">
        <is>
          <t>应付会计</t>
        </is>
      </c>
      <c r="E93" s="9" t="inlineStr">
        <is>
          <t>P4-P6</t>
        </is>
      </c>
      <c r="F93" s="9" t="inlineStr">
        <is>
          <t>在职</t>
        </is>
      </c>
      <c r="G93" s="15" t="n">
        <v>44457</v>
      </c>
      <c r="H93" s="11" t="n">
        <v>23</v>
      </c>
      <c r="I93" s="11" t="n">
        <v>22</v>
      </c>
      <c r="J93" s="16" t="n">
        <v>20400</v>
      </c>
      <c r="K93" s="16" t="n">
        <v>4500</v>
      </c>
      <c r="L93" s="16" t="n">
        <v>6600</v>
      </c>
      <c r="M93" s="17">
        <f>IF(COUNTA(J93:L93)&lt;3,"",ROUND(SUM(J93:L93),2))</f>
        <v>31500.00</v>
      </c>
      <c r="N93" s="16" t="n">
        <v>1656.49</v>
      </c>
      <c r="O93" s="16" t="n">
        <v>3558.7</v>
      </c>
      <c r="P93" s="16" t="n">
        <v>80</v>
      </c>
      <c r="Q93" s="17">
        <f>IF(OR(M93="",COUNTA(N93:P93)&lt;3),"",ROUND(M93-SUM(N93:P93),2))</f>
        <v>26204.81</v>
      </c>
    </row>
    <row r="94" ht="22" customHeight="1">
      <c r="A94" s="9" t="inlineStr">
        <is>
          <t>E0093</t>
        </is>
      </c>
      <c r="B94" s="9" t="inlineStr">
        <is>
          <t>魏浩婷</t>
        </is>
      </c>
      <c r="C94" s="9" t="inlineStr">
        <is>
          <t>人力资源部</t>
        </is>
      </c>
      <c r="D94" s="9" t="inlineStr">
        <is>
          <t>组织发展专员</t>
        </is>
      </c>
      <c r="E94" s="9" t="inlineStr">
        <is>
          <t>P5-P7</t>
        </is>
      </c>
      <c r="F94" s="9" t="inlineStr">
        <is>
          <t>试用</t>
        </is>
      </c>
      <c r="G94" s="15" t="n">
        <v>44853</v>
      </c>
      <c r="H94" s="11" t="n">
        <v>20</v>
      </c>
      <c r="I94" s="11" t="n">
        <v>19</v>
      </c>
      <c r="J94" s="16" t="n">
        <v>34300</v>
      </c>
      <c r="K94" s="16" t="n">
        <v>6900</v>
      </c>
      <c r="L94" s="16" t="n">
        <v>1800</v>
      </c>
      <c r="M94" s="17">
        <f>IF(COUNTA(J94:L94)&lt;3,"",ROUND(SUM(J94:L94),2))</f>
        <v>43000.00</v>
      </c>
      <c r="N94" s="16" t="n">
        <v>2674.61</v>
      </c>
      <c r="O94" s="16" t="n">
        <v>6187.62</v>
      </c>
      <c r="P94" s="16" t="n">
        <v>120</v>
      </c>
      <c r="Q94" s="17">
        <f>IF(OR(M94="",COUNTA(N94:P94)&lt;3),"",ROUND(M94-SUM(N94:P94),2))</f>
        <v>34017.77</v>
      </c>
    </row>
    <row r="95" ht="22" customHeight="1">
      <c r="A95" s="9" t="inlineStr">
        <is>
          <t>E0094</t>
        </is>
      </c>
      <c r="B95" s="9" t="inlineStr">
        <is>
          <t>陶凯轩</t>
        </is>
      </c>
      <c r="C95" s="9" t="inlineStr">
        <is>
          <t>行政部</t>
        </is>
      </c>
      <c r="D95" s="9" t="inlineStr">
        <is>
          <t>行政专员</t>
        </is>
      </c>
      <c r="E95" s="9" t="inlineStr">
        <is>
          <t>P6-P7</t>
        </is>
      </c>
      <c r="F95" s="9" t="inlineStr">
        <is>
          <t>休假</t>
        </is>
      </c>
      <c r="G95" s="15" t="n">
        <v>45250</v>
      </c>
      <c r="H95" s="11" t="n">
        <v>22</v>
      </c>
      <c r="I95" s="11" t="n">
        <v>15</v>
      </c>
      <c r="J95" s="16" t="n">
        <v>43500</v>
      </c>
      <c r="K95" s="16" t="n">
        <v>4800</v>
      </c>
      <c r="L95" s="16" t="n">
        <v>1400</v>
      </c>
      <c r="M95" s="17">
        <f>IF(COUNTA(J95:L95)&lt;3,"",ROUND(SUM(J95:L95),2))</f>
        <v>49700.00</v>
      </c>
      <c r="N95" s="16" t="n">
        <v>3523.49</v>
      </c>
      <c r="O95" s="16" t="n">
        <v>7942.95</v>
      </c>
      <c r="P95" s="16" t="n">
        <v>50</v>
      </c>
      <c r="Q95" s="17">
        <f>IF(OR(M95="",COUNTA(N95:P95)&lt;3),"",ROUND(M95-SUM(N95:P95),2))</f>
        <v>38183.56</v>
      </c>
    </row>
    <row r="96" ht="22" customHeight="1">
      <c r="A96" s="9" t="inlineStr">
        <is>
          <t>E0095</t>
        </is>
      </c>
      <c r="B96" s="9" t="inlineStr">
        <is>
          <t>姜涵琪</t>
        </is>
      </c>
      <c r="C96" s="9" t="inlineStr">
        <is>
          <t>采购部</t>
        </is>
      </c>
      <c r="D96" s="9" t="inlineStr">
        <is>
          <t>供应商管理专员</t>
        </is>
      </c>
      <c r="E96" s="9" t="inlineStr">
        <is>
          <t>P4-P6</t>
        </is>
      </c>
      <c r="F96" s="9" t="inlineStr">
        <is>
          <t>异动</t>
        </is>
      </c>
      <c r="G96" s="15" t="n">
        <v>45647</v>
      </c>
      <c r="H96" s="11" t="n">
        <v>23</v>
      </c>
      <c r="I96" s="11" t="n">
        <v>22</v>
      </c>
      <c r="J96" s="16" t="n">
        <v>19300</v>
      </c>
      <c r="K96" s="16" t="n">
        <v>1000</v>
      </c>
      <c r="L96" s="16" t="n">
        <v>3600</v>
      </c>
      <c r="M96" s="17">
        <f>IF(COUNTA(J96:L96)&lt;3,"",ROUND(SUM(J96:L96),2))</f>
        <v>23900.00</v>
      </c>
      <c r="N96" s="16" t="n">
        <v>1822.88</v>
      </c>
      <c r="O96" s="16" t="n">
        <v>2005.42</v>
      </c>
      <c r="P96" s="16" t="n">
        <v>120</v>
      </c>
      <c r="Q96" s="17">
        <f>IF(OR(M96="",COUNTA(N96:P96)&lt;3),"",ROUND(M96-SUM(N96:P96),2))</f>
        <v>19951.70</v>
      </c>
    </row>
    <row r="97" ht="22" customHeight="1">
      <c r="A97" s="9" t="inlineStr">
        <is>
          <t>E0096</t>
        </is>
      </c>
      <c r="B97" s="9" t="inlineStr">
        <is>
          <t>赵晨彬</t>
        </is>
      </c>
      <c r="C97" s="9" t="inlineStr">
        <is>
          <t>法务部</t>
        </is>
      </c>
      <c r="D97" s="9" t="inlineStr">
        <is>
          <t>合规专员</t>
        </is>
      </c>
      <c r="E97" s="9" t="inlineStr">
        <is>
          <t>P4-P6</t>
        </is>
      </c>
      <c r="F97" s="9" t="inlineStr">
        <is>
          <t>在职</t>
        </is>
      </c>
      <c r="G97" s="15" t="n">
        <v>44218</v>
      </c>
      <c r="H97" s="11" t="n">
        <v>21</v>
      </c>
      <c r="I97" s="11" t="n">
        <v>20</v>
      </c>
      <c r="J97" s="16" t="n">
        <v>27200</v>
      </c>
      <c r="K97" s="16" t="n">
        <v>1500</v>
      </c>
      <c r="L97" s="16" t="n">
        <v>5000</v>
      </c>
      <c r="M97" s="17">
        <f>IF(COUNTA(J97:L97)&lt;3,"",ROUND(SUM(J97:L97),2))</f>
        <v>33700.00</v>
      </c>
      <c r="N97" s="16" t="n">
        <v>2126.98</v>
      </c>
      <c r="O97" s="16" t="n">
        <v>3983.26</v>
      </c>
      <c r="P97" s="16" t="n">
        <v>900</v>
      </c>
      <c r="Q97" s="17">
        <f>IF(OR(M97="",COUNTA(N97:P97)&lt;3),"",ROUND(M97-SUM(N97:P97),2))</f>
        <v>26689.76</v>
      </c>
    </row>
    <row r="98" ht="24" customHeight="1">
      <c r="A98" s="7" t="n"/>
      <c r="B98" s="6" t="n"/>
      <c r="C98" s="6" t="n"/>
      <c r="D98" s="6" t="n"/>
      <c r="E98" s="6" t="n"/>
      <c r="F98" s="6" t="n"/>
      <c r="G98" s="7" t="n"/>
      <c r="H98" s="18">
        <f>SUM(H2:H97)</f>
        <v/>
      </c>
      <c r="I98" s="18">
        <f>SUM(I2:I97)</f>
        <v/>
      </c>
      <c r="J98" s="18">
        <f>SUM(J2:J97)</f>
        <v/>
      </c>
      <c r="K98" s="18">
        <f>SUM(K2:K97)</f>
        <v/>
      </c>
      <c r="L98" s="18">
        <f>SUM(L2:L97)</f>
        <v/>
      </c>
      <c r="M98" s="18">
        <f>SUM(M2:M97)</f>
        <v/>
      </c>
      <c r="N98" s="18">
        <f>SUM(N2:N97)</f>
        <v/>
      </c>
      <c r="O98" s="18">
        <f>SUM(O2:O97)</f>
        <v/>
      </c>
      <c r="P98" s="18">
        <f>SUM(P2:P97)</f>
        <v/>
      </c>
      <c r="Q98" s="18">
        <f>SUM(Q2:Q97)</f>
        <v/>
      </c>
    </row>
  </sheetData>
  <autoFilter ref="A1:Q98"/>
  <mergeCells count="1">
    <mergeCell ref="A98:G98"/>
  </mergeCells>
  <conditionalFormatting sqref="Q2:Q97">
    <cfRule type="cellIs" priority="3" operator="lessThan" dxfId="0">
      <formula>0</formula>
    </cfRule>
  </conditionalFormatting>
  <dataValidations count="1">
    <dataValidation sqref="H2:L97 N2:P97" showDropDown="0" showInputMessage="0" showErrorMessage="0" allowBlank="1" errorTitle="数值无效" error="此处只允许填写 0 或正数。" promptTitle="请输入非负数" prompt="金额和天数请填写 0 或正数；未知项目暂留空。" type="decimal" operator="greaterThanOrEqual">
      <formula1>0</formula1>
    </dataValidation>
  </dataValidations>
  <pageMargins left="0.25" right="0.25" top="0.4" bottom="0.4" header="0.5" footer="0.5"/>
  <pageSetup orientation="landscape" paperSize="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10" activePane="bottomLeft" state="frozen"/>
      <selection activeCell="A1" sqref="A1"/>
      <selection pane="bottomLeft" activeCell="A41" sqref="A41"/>
    </sheetView>
  </sheetViews>
  <sheetFormatPr baseColWidth="8" defaultColWidth="9" defaultRowHeight="14.4"/>
  <cols>
    <col width="18" customWidth="1" min="1" max="1"/>
    <col width="30" customWidth="1" min="2" max="2"/>
    <col width="38" customWidth="1" min="3" max="3"/>
    <col width="26" customWidth="1" min="4" max="4"/>
  </cols>
  <sheetData>
    <row r="1" ht="28" customHeight="1">
      <c r="A1" s="1" t="inlineStr">
        <is>
          <t>2026年08月工资表 - 填表说明</t>
        </is>
      </c>
    </row>
    <row r="3" ht="16.2" customHeight="1">
      <c r="A3" s="2" t="inlineStr">
        <is>
          <t>字段</t>
        </is>
      </c>
      <c r="B3" s="2" t="inlineStr">
        <is>
          <t>用途</t>
        </is>
      </c>
      <c r="C3" s="2" t="inlineStr">
        <is>
          <t>填写规则</t>
        </is>
      </c>
      <c r="D3" s="2" t="inlineStr">
        <is>
          <t>数据来源</t>
        </is>
      </c>
    </row>
    <row r="4" ht="32" customHeight="1">
      <c r="A4" s="3" t="inlineStr">
        <is>
          <t>应出勤天数</t>
        </is>
      </c>
      <c r="B4" s="3" t="inlineStr">
        <is>
          <t>记录本月制度出勤天数</t>
        </is>
      </c>
      <c r="C4" s="3" t="inlineStr">
        <is>
          <t>按公司考勤制度填写</t>
        </is>
      </c>
      <c r="D4" s="3" t="inlineStr">
        <is>
          <t>人力资源/考勤系统</t>
        </is>
      </c>
    </row>
    <row r="5" ht="32" customHeight="1">
      <c r="A5" s="4" t="inlineStr">
        <is>
          <t>实际出勤天数</t>
        </is>
      </c>
      <c r="B5" s="4" t="inlineStr">
        <is>
          <t>记录员工本月实际出勤天数</t>
        </is>
      </c>
      <c r="C5" s="4" t="inlineStr">
        <is>
          <t>按考勤结果填写</t>
        </is>
      </c>
      <c r="D5" s="4" t="inlineStr">
        <is>
          <t>人力资源/考勤系统</t>
        </is>
      </c>
    </row>
    <row r="6" ht="32" customHeight="1">
      <c r="A6" s="3" t="inlineStr">
        <is>
          <t>基本工资</t>
        </is>
      </c>
      <c r="B6" s="3" t="inlineStr">
        <is>
          <t>固定月度薪资</t>
        </is>
      </c>
      <c r="C6" s="3" t="inlineStr">
        <is>
          <t>没有数值时不要估算</t>
        </is>
      </c>
      <c r="D6" s="3" t="inlineStr">
        <is>
          <t>薪酬系统/劳动合同</t>
        </is>
      </c>
    </row>
    <row r="7" ht="32" customHeight="1">
      <c r="A7" s="4" t="inlineStr">
        <is>
          <t>岗位津贴</t>
        </is>
      </c>
      <c r="B7" s="4" t="inlineStr">
        <is>
          <t>岗位或职级对应津贴</t>
        </is>
      </c>
      <c r="C7" s="4" t="inlineStr">
        <is>
          <t>无则填写 0</t>
        </is>
      </c>
      <c r="D7" s="4" t="inlineStr">
        <is>
          <t>薪酬系统</t>
        </is>
      </c>
    </row>
    <row r="8" ht="32" customHeight="1">
      <c r="A8" s="3" t="inlineStr">
        <is>
          <t>绩效奖金</t>
        </is>
      </c>
      <c r="B8" s="3" t="inlineStr">
        <is>
          <t>本月绩效奖金</t>
        </is>
      </c>
      <c r="C8" s="3" t="inlineStr">
        <is>
          <t>无则填写 0</t>
        </is>
      </c>
      <c r="D8" s="3" t="inlineStr">
        <is>
          <t>绩效结果/薪酬系统</t>
        </is>
      </c>
    </row>
    <row r="9" ht="32" customHeight="1">
      <c r="A9" s="4" t="inlineStr">
        <is>
          <t>应发工资</t>
        </is>
      </c>
      <c r="B9" s="4" t="inlineStr">
        <is>
          <t>基本工资 + 岗位津贴 + 绩效奖金</t>
        </is>
      </c>
      <c r="C9" s="4" t="inlineStr">
        <is>
          <t>自动计算</t>
        </is>
      </c>
      <c r="D9" s="4" t="inlineStr">
        <is>
          <t>公式</t>
        </is>
      </c>
    </row>
    <row r="10" ht="32" customHeight="1">
      <c r="A10" s="3" t="inlineStr">
        <is>
          <t>社保公积金</t>
        </is>
      </c>
      <c r="B10" s="3" t="inlineStr">
        <is>
          <t>员工承担部分</t>
        </is>
      </c>
      <c r="C10" s="3" t="inlineStr">
        <is>
          <t>无则填写 0</t>
        </is>
      </c>
      <c r="D10" s="3" t="inlineStr">
        <is>
          <t>薪酬系统</t>
        </is>
      </c>
    </row>
    <row r="11" ht="32" customHeight="1">
      <c r="A11" s="4" t="inlineStr">
        <is>
          <t>个税</t>
        </is>
      </c>
      <c r="B11" s="4" t="inlineStr">
        <is>
          <t>本月代扣个人所得税</t>
        </is>
      </c>
      <c r="C11" s="4" t="inlineStr">
        <is>
          <t>无则填写 0</t>
        </is>
      </c>
      <c r="D11" s="4" t="inlineStr">
        <is>
          <t>个税/薪酬系统</t>
        </is>
      </c>
    </row>
    <row r="12" ht="32" customHeight="1">
      <c r="A12" s="3" t="inlineStr">
        <is>
          <t>其他扣款</t>
        </is>
      </c>
      <c r="B12" s="3" t="inlineStr">
        <is>
          <t>其他经确认的扣款</t>
        </is>
      </c>
      <c r="C12" s="3" t="inlineStr">
        <is>
          <t>无则填写 0</t>
        </is>
      </c>
      <c r="D12" s="3" t="inlineStr">
        <is>
          <t>薪酬系统</t>
        </is>
      </c>
    </row>
    <row r="13" ht="32" customHeight="1">
      <c r="A13" s="4" t="inlineStr">
        <is>
          <t>实发工资</t>
        </is>
      </c>
      <c r="B13" s="4" t="inlineStr">
        <is>
          <t>应发工资 - 各项扣款</t>
        </is>
      </c>
      <c r="C13" s="4" t="inlineStr">
        <is>
          <t>自动计算</t>
        </is>
      </c>
      <c r="D13" s="4" t="inlineStr">
        <is>
          <t>公式</t>
        </is>
      </c>
    </row>
    <row r="14" ht="32" customHeight="1">
      <c r="A14" s="3" t="inlineStr">
        <is>
          <t>数据状态</t>
        </is>
      </c>
      <c r="B14" s="3" t="inlineStr">
        <is>
          <t>提示工资项目是否补齐</t>
        </is>
      </c>
      <c r="C14" s="3" t="inlineStr">
        <is>
          <t>自动判断</t>
        </is>
      </c>
      <c r="D14" s="3" t="inlineStr">
        <is>
          <t>公式</t>
        </is>
      </c>
    </row>
    <row r="17" ht="42" customHeight="1">
      <c r="A17" s="5" t="inlineStr">
        <is>
          <t>说明：本次按请求已为考勤、基本工资、岗位津贴、绩效奖金、社保公积金、个税及其他扣款随机生成演示数据；应发工资和实发工资仍由表内公式计算，仅用于测试和展示，不代表真实薪酬。</t>
        </is>
      </c>
      <c r="B17" s="6" t="n"/>
      <c r="C17" s="6" t="n"/>
      <c r="D17" s="7" t="n"/>
    </row>
  </sheetData>
  <autoFilter ref="A3:D14"/>
  <mergeCells count="2">
    <mergeCell ref="A1:D1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2026年08月工资表</dc:title>
  <dc:subject xmlns:dc="http://purl.org/dc/elements/1.1/">根据企业内部信息总表员工花名册生成的月度工资表模板</dc:subject>
  <dcterms:created xmlns:dcterms="http://purl.org/dc/terms/" xmlns:xsi="http://www.w3.org/2001/XMLSchema-instance" xsi:type="dcterms:W3CDTF">2026-08-18T15:33:00Z</dcterms:created>
  <dcterms:modified xmlns:dcterms="http://purl.org/dc/terms/" xmlns:xsi="http://www.w3.org/2001/XMLSchema-instance" xsi:type="dcterms:W3CDTF">2026-08-18T16:17:33Z</dcterms:modified>
  <cp:lastModifiedBy>咕噜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7D9EB72AB77642E7A3006D4CBF0EC89B_12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